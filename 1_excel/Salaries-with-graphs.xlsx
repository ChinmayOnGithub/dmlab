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_rels/pivotCacheDefinition2.xml.rels" ContentType="application/vnd.openxmlformats-package.relationships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aries Complete" sheetId="1" state="visible" r:id="rId3"/>
    <sheet name="Pivot Table_Salaries Complete_1" sheetId="2" state="visible" r:id="rId4"/>
    <sheet name="Sheet3" sheetId="3" state="visible" r:id="rId5"/>
  </sheets>
  <calcPr iterateCount="100" refMode="A1" iterate="false" iterateDelta="0.0001"/>
  <pivotCaches>
    <pivotCache cacheId="1" r:id="rId7"/>
    <pivotCache cacheId="2" r:id="rId8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<sst xmlns="http://schemas.openxmlformats.org/spreadsheetml/2006/main" count="202" uniqueCount="32">
  <si>
    <t xml:space="preserve">id</t>
  </si>
  <si>
    <t xml:space="preserve">Name</t>
  </si>
  <si>
    <t xml:space="preserve">Gender</t>
  </si>
  <si>
    <t xml:space="preserve">Degree</t>
  </si>
  <si>
    <t xml:space="preserve">Experience</t>
  </si>
  <si>
    <t xml:space="preserve">Marital Status</t>
  </si>
  <si>
    <t xml:space="preserve">Dependents</t>
  </si>
  <si>
    <t xml:space="preserve">Transportation</t>
  </si>
  <si>
    <t xml:space="preserve">Housing</t>
  </si>
  <si>
    <t xml:space="preserve">Basic</t>
  </si>
  <si>
    <t xml:space="preserve">Allowance</t>
  </si>
  <si>
    <t xml:space="preserve">Family</t>
  </si>
  <si>
    <t xml:space="preserve">Count</t>
  </si>
  <si>
    <t xml:space="preserve">Ab</t>
  </si>
  <si>
    <t xml:space="preserve">F</t>
  </si>
  <si>
    <t xml:space="preserve">Bsc</t>
  </si>
  <si>
    <t xml:space="preserve">Married</t>
  </si>
  <si>
    <t xml:space="preserve">Ah</t>
  </si>
  <si>
    <t xml:space="preserve">M</t>
  </si>
  <si>
    <t xml:space="preserve">Diploma</t>
  </si>
  <si>
    <t xml:space="preserve">Msc</t>
  </si>
  <si>
    <t xml:space="preserve">Average Salary</t>
  </si>
  <si>
    <t xml:space="preserve">Single</t>
  </si>
  <si>
    <t xml:space="preserve"> </t>
  </si>
  <si>
    <t xml:space="preserve">Data</t>
  </si>
  <si>
    <t xml:space="preserve">Average - Basic</t>
  </si>
  <si>
    <t xml:space="preserve">Average - Family</t>
  </si>
  <si>
    <t xml:space="preserve">Average - Allowance</t>
  </si>
  <si>
    <t xml:space="preserve">Average - Transportation</t>
  </si>
  <si>
    <t xml:space="preserve">Average - Housing</t>
  </si>
  <si>
    <t xml:space="preserve">Total Result</t>
  </si>
  <si>
    <t xml:space="preserve">Count of Name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</si>
</sst>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color rgb="FF000000"/>
      <name val="Calibri"/>
      <family val="2"/>
    </font>
    <font>
      <b val="true"/>
      <sz val="18"/>
      <color rgb="FF000000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7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2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6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D320"/>
      <rgbColor rgb="FFFF9900"/>
      <rgbColor rgb="FFFF420E"/>
      <rgbColor rgb="FF4F81BD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'Salaries Complete'!$N$9:$N$11</c:f>
              <c:strCache>
                <c:ptCount val="3"/>
                <c:pt idx="0">
                  <c:v>Diploma</c:v>
                </c:pt>
                <c:pt idx="1">
                  <c:v>Bsc</c:v>
                </c:pt>
                <c:pt idx="2">
                  <c:v>Msc</c:v>
                </c:pt>
              </c:strCache>
            </c:strRef>
          </c:cat>
          <c:val>
            <c:numRef>
              <c:f>'Salaries Complete'!$O$9:$O$11</c:f>
              <c:numCache>
                <c:formatCode>General</c:formatCode>
                <c:ptCount val="3"/>
                <c:pt idx="0">
                  <c:v>21</c:v>
                </c:pt>
                <c:pt idx="1">
                  <c:v>15</c:v>
                </c:pt>
                <c:pt idx="2">
                  <c:v>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25"/>
          <c:dPt>
            <c:idx val="0"/>
            <c:explosion val="25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explosion val="25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'Salaries Complete'!$N$15:$N$16</c:f>
              <c:strCache>
                <c:ptCount val="2"/>
                <c:pt idx="0">
                  <c:v>M</c:v>
                </c:pt>
                <c:pt idx="1">
                  <c:v>F</c:v>
                </c:pt>
              </c:strCache>
            </c:strRef>
          </c:cat>
          <c:val>
            <c:numRef>
              <c:f>'Salaries Complete'!$O$15:$O$16</c:f>
              <c:numCache>
                <c:formatCode>General</c:formatCode>
                <c:ptCount val="2"/>
                <c:pt idx="0">
                  <c:v>10</c:v>
                </c:pt>
                <c:pt idx="1">
                  <c:v>28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Average Salary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"Average Salary"</c:f>
              <c:strCache>
                <c:ptCount val="1"/>
                <c:pt idx="0">
                  <c:v>Average Salary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'Salaries Complete'!$N$22:$N$24</c:f>
              <c:strCache>
                <c:ptCount val="3"/>
                <c:pt idx="0">
                  <c:v>Diploma</c:v>
                </c:pt>
                <c:pt idx="1">
                  <c:v>Bsc</c:v>
                </c:pt>
                <c:pt idx="2">
                  <c:v>Msc</c:v>
                </c:pt>
              </c:strCache>
            </c:strRef>
          </c:cat>
          <c:val>
            <c:numRef>
              <c:f>'Salaries Complete'!$O$22:$O$24</c:f>
              <c:numCache>
                <c:formatCode>General</c:formatCode>
                <c:ptCount val="3"/>
                <c:pt idx="0">
                  <c:v>107.619047619048</c:v>
                </c:pt>
                <c:pt idx="1">
                  <c:v>107.866666666667</c:v>
                </c:pt>
                <c:pt idx="2">
                  <c:v>102.5</c:v>
                </c:pt>
              </c:numCache>
            </c:numRef>
          </c:val>
        </c:ser>
        <c:gapWidth val="150"/>
        <c:overlap val="0"/>
        <c:axId val="59642802"/>
        <c:axId val="57748843"/>
      </c:barChart>
      <c:catAx>
        <c:axId val="5964280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7748843"/>
        <c:crosses val="autoZero"/>
        <c:auto val="1"/>
        <c:lblAlgn val="ctr"/>
        <c:lblOffset val="100"/>
        <c:noMultiLvlLbl val="0"/>
      </c:catAx>
      <c:valAx>
        <c:axId val="577488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96428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1"/>
          <c:y val="0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Allowance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'Salaries Complete'!$T$1</c:f>
              <c:strCache>
                <c:ptCount val="1"/>
                <c:pt idx="0">
                  <c:v>Allowance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'Salaries Complete'!$S$2:$S$39</c:f>
              <c:numCache>
                <c:formatCode>General</c:formatCode>
                <c:ptCount val="38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10</c:v>
                </c:pt>
                <c:pt idx="7">
                  <c:v>15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12</c:v>
                </c:pt>
                <c:pt idx="15">
                  <c:v>12</c:v>
                </c:pt>
                <c:pt idx="16">
                  <c:v>13</c:v>
                </c:pt>
                <c:pt idx="17">
                  <c:v>13</c:v>
                </c:pt>
                <c:pt idx="18">
                  <c:v>14</c:v>
                </c:pt>
                <c:pt idx="19">
                  <c:v>4</c:v>
                </c:pt>
                <c:pt idx="20">
                  <c:v>13</c:v>
                </c:pt>
                <c:pt idx="21">
                  <c:v>4</c:v>
                </c:pt>
                <c:pt idx="22">
                  <c:v>6</c:v>
                </c:pt>
                <c:pt idx="23">
                  <c:v>6</c:v>
                </c:pt>
                <c:pt idx="24">
                  <c:v>8</c:v>
                </c:pt>
                <c:pt idx="25">
                  <c:v>8</c:v>
                </c:pt>
                <c:pt idx="26">
                  <c:v>10</c:v>
                </c:pt>
                <c:pt idx="27">
                  <c:v>20</c:v>
                </c:pt>
                <c:pt idx="28">
                  <c:v>4</c:v>
                </c:pt>
                <c:pt idx="29">
                  <c:v>8</c:v>
                </c:pt>
                <c:pt idx="30">
                  <c:v>8</c:v>
                </c:pt>
                <c:pt idx="31">
                  <c:v>9</c:v>
                </c:pt>
                <c:pt idx="32">
                  <c:v>9</c:v>
                </c:pt>
                <c:pt idx="33">
                  <c:v>12</c:v>
                </c:pt>
                <c:pt idx="34">
                  <c:v>12</c:v>
                </c:pt>
                <c:pt idx="35">
                  <c:v>14</c:v>
                </c:pt>
                <c:pt idx="36">
                  <c:v>20</c:v>
                </c:pt>
                <c:pt idx="37">
                  <c:v>21</c:v>
                </c:pt>
              </c:numCache>
            </c:numRef>
          </c:xVal>
          <c:yVal>
            <c:numRef>
              <c:f>'Salaries Complete'!$T$2:$T$39</c:f>
              <c:numCache>
                <c:formatCode>General</c:formatCode>
                <c:ptCount val="38"/>
                <c:pt idx="0">
                  <c:v>34</c:v>
                </c:pt>
                <c:pt idx="1">
                  <c:v>44</c:v>
                </c:pt>
                <c:pt idx="2">
                  <c:v>50</c:v>
                </c:pt>
                <c:pt idx="3">
                  <c:v>50</c:v>
                </c:pt>
                <c:pt idx="4">
                  <c:v>70</c:v>
                </c:pt>
                <c:pt idx="5">
                  <c:v>90</c:v>
                </c:pt>
                <c:pt idx="6">
                  <c:v>100</c:v>
                </c:pt>
                <c:pt idx="7">
                  <c:v>150</c:v>
                </c:pt>
                <c:pt idx="8">
                  <c:v>32</c:v>
                </c:pt>
                <c:pt idx="9">
                  <c:v>32</c:v>
                </c:pt>
                <c:pt idx="10">
                  <c:v>40</c:v>
                </c:pt>
                <c:pt idx="11">
                  <c:v>56</c:v>
                </c:pt>
                <c:pt idx="12">
                  <c:v>64</c:v>
                </c:pt>
                <c:pt idx="13">
                  <c:v>72</c:v>
                </c:pt>
                <c:pt idx="14">
                  <c:v>96</c:v>
                </c:pt>
                <c:pt idx="15">
                  <c:v>96</c:v>
                </c:pt>
                <c:pt idx="16">
                  <c:v>104</c:v>
                </c:pt>
                <c:pt idx="17">
                  <c:v>104</c:v>
                </c:pt>
                <c:pt idx="18">
                  <c:v>112</c:v>
                </c:pt>
                <c:pt idx="19">
                  <c:v>60</c:v>
                </c:pt>
                <c:pt idx="20">
                  <c:v>195</c:v>
                </c:pt>
                <c:pt idx="21">
                  <c:v>45</c:v>
                </c:pt>
                <c:pt idx="22">
                  <c:v>60</c:v>
                </c:pt>
                <c:pt idx="23">
                  <c:v>60</c:v>
                </c:pt>
                <c:pt idx="24">
                  <c:v>80</c:v>
                </c:pt>
                <c:pt idx="25">
                  <c:v>80</c:v>
                </c:pt>
                <c:pt idx="26">
                  <c:v>100</c:v>
                </c:pt>
                <c:pt idx="27">
                  <c:v>160</c:v>
                </c:pt>
                <c:pt idx="28">
                  <c:v>32</c:v>
                </c:pt>
                <c:pt idx="29">
                  <c:v>64</c:v>
                </c:pt>
                <c:pt idx="30">
                  <c:v>64</c:v>
                </c:pt>
                <c:pt idx="31">
                  <c:v>72</c:v>
                </c:pt>
                <c:pt idx="32">
                  <c:v>72</c:v>
                </c:pt>
                <c:pt idx="33">
                  <c:v>96</c:v>
                </c:pt>
                <c:pt idx="34">
                  <c:v>96</c:v>
                </c:pt>
                <c:pt idx="35">
                  <c:v>112</c:v>
                </c:pt>
                <c:pt idx="36">
                  <c:v>160</c:v>
                </c:pt>
                <c:pt idx="37">
                  <c:v>168</c:v>
                </c:pt>
              </c:numCache>
            </c:numRef>
          </c:yVal>
          <c:smooth val="0"/>
        </c:ser>
        <c:axId val="64495912"/>
        <c:axId val="14667267"/>
      </c:scatterChart>
      <c:valAx>
        <c:axId val="644959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4667267"/>
        <c:crosses val="autoZero"/>
        <c:crossBetween val="midCat"/>
      </c:valAx>
      <c:valAx>
        <c:axId val="146672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449591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areaChart>
        <c:grouping val="standard"/>
        <c:ser>
          <c:idx val="0"/>
          <c:order val="0"/>
          <c:tx>
            <c:strRef>
              <c:f>'Salaries Complete'!$S$1</c:f>
              <c:strCache>
                <c:ptCount val="1"/>
                <c:pt idx="0">
                  <c:v>Experience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'Salaries Complete'!$S$2:$S$39</c:f>
              <c:numCache>
                <c:formatCode>General</c:formatCode>
                <c:ptCount val="38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10</c:v>
                </c:pt>
                <c:pt idx="7">
                  <c:v>15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12</c:v>
                </c:pt>
                <c:pt idx="15">
                  <c:v>12</c:v>
                </c:pt>
                <c:pt idx="16">
                  <c:v>13</c:v>
                </c:pt>
                <c:pt idx="17">
                  <c:v>13</c:v>
                </c:pt>
                <c:pt idx="18">
                  <c:v>14</c:v>
                </c:pt>
                <c:pt idx="19">
                  <c:v>4</c:v>
                </c:pt>
                <c:pt idx="20">
                  <c:v>13</c:v>
                </c:pt>
                <c:pt idx="21">
                  <c:v>4</c:v>
                </c:pt>
                <c:pt idx="22">
                  <c:v>6</c:v>
                </c:pt>
                <c:pt idx="23">
                  <c:v>6</c:v>
                </c:pt>
                <c:pt idx="24">
                  <c:v>8</c:v>
                </c:pt>
                <c:pt idx="25">
                  <c:v>8</c:v>
                </c:pt>
                <c:pt idx="26">
                  <c:v>10</c:v>
                </c:pt>
                <c:pt idx="27">
                  <c:v>20</c:v>
                </c:pt>
                <c:pt idx="28">
                  <c:v>4</c:v>
                </c:pt>
                <c:pt idx="29">
                  <c:v>8</c:v>
                </c:pt>
                <c:pt idx="30">
                  <c:v>8</c:v>
                </c:pt>
                <c:pt idx="31">
                  <c:v>9</c:v>
                </c:pt>
                <c:pt idx="32">
                  <c:v>9</c:v>
                </c:pt>
                <c:pt idx="33">
                  <c:v>12</c:v>
                </c:pt>
                <c:pt idx="34">
                  <c:v>12</c:v>
                </c:pt>
                <c:pt idx="35">
                  <c:v>14</c:v>
                </c:pt>
                <c:pt idx="36">
                  <c:v>20</c:v>
                </c:pt>
                <c:pt idx="37">
                  <c:v>21</c:v>
                </c:pt>
              </c:numCache>
            </c:numRef>
          </c:val>
        </c:ser>
        <c:ser>
          <c:idx val="1"/>
          <c:order val="1"/>
          <c:tx>
            <c:strRef>
              <c:f>'Salaries Complete'!$T$1</c:f>
              <c:strCache>
                <c:ptCount val="1"/>
                <c:pt idx="0">
                  <c:v>Allowance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'Salaries Complete'!$T$2:$T$39</c:f>
              <c:numCache>
                <c:formatCode>General</c:formatCode>
                <c:ptCount val="38"/>
                <c:pt idx="0">
                  <c:v>34</c:v>
                </c:pt>
                <c:pt idx="1">
                  <c:v>44</c:v>
                </c:pt>
                <c:pt idx="2">
                  <c:v>50</c:v>
                </c:pt>
                <c:pt idx="3">
                  <c:v>50</c:v>
                </c:pt>
                <c:pt idx="4">
                  <c:v>70</c:v>
                </c:pt>
                <c:pt idx="5">
                  <c:v>90</c:v>
                </c:pt>
                <c:pt idx="6">
                  <c:v>100</c:v>
                </c:pt>
                <c:pt idx="7">
                  <c:v>150</c:v>
                </c:pt>
                <c:pt idx="8">
                  <c:v>32</c:v>
                </c:pt>
                <c:pt idx="9">
                  <c:v>32</c:v>
                </c:pt>
                <c:pt idx="10">
                  <c:v>40</c:v>
                </c:pt>
                <c:pt idx="11">
                  <c:v>56</c:v>
                </c:pt>
                <c:pt idx="12">
                  <c:v>64</c:v>
                </c:pt>
                <c:pt idx="13">
                  <c:v>72</c:v>
                </c:pt>
                <c:pt idx="14">
                  <c:v>96</c:v>
                </c:pt>
                <c:pt idx="15">
                  <c:v>96</c:v>
                </c:pt>
                <c:pt idx="16">
                  <c:v>104</c:v>
                </c:pt>
                <c:pt idx="17">
                  <c:v>104</c:v>
                </c:pt>
                <c:pt idx="18">
                  <c:v>112</c:v>
                </c:pt>
                <c:pt idx="19">
                  <c:v>60</c:v>
                </c:pt>
                <c:pt idx="20">
                  <c:v>195</c:v>
                </c:pt>
                <c:pt idx="21">
                  <c:v>45</c:v>
                </c:pt>
                <c:pt idx="22">
                  <c:v>60</c:v>
                </c:pt>
                <c:pt idx="23">
                  <c:v>60</c:v>
                </c:pt>
                <c:pt idx="24">
                  <c:v>80</c:v>
                </c:pt>
                <c:pt idx="25">
                  <c:v>80</c:v>
                </c:pt>
                <c:pt idx="26">
                  <c:v>100</c:v>
                </c:pt>
                <c:pt idx="27">
                  <c:v>160</c:v>
                </c:pt>
                <c:pt idx="28">
                  <c:v>32</c:v>
                </c:pt>
                <c:pt idx="29">
                  <c:v>64</c:v>
                </c:pt>
                <c:pt idx="30">
                  <c:v>64</c:v>
                </c:pt>
                <c:pt idx="31">
                  <c:v>72</c:v>
                </c:pt>
                <c:pt idx="32">
                  <c:v>72</c:v>
                </c:pt>
                <c:pt idx="33">
                  <c:v>96</c:v>
                </c:pt>
                <c:pt idx="34">
                  <c:v>96</c:v>
                </c:pt>
                <c:pt idx="35">
                  <c:v>112</c:v>
                </c:pt>
                <c:pt idx="36">
                  <c:v>160</c:v>
                </c:pt>
                <c:pt idx="37">
                  <c:v>168</c:v>
                </c:pt>
              </c:numCache>
            </c:numRef>
          </c:val>
        </c:ser>
        <c:axId val="6234243"/>
        <c:axId val="67031163"/>
      </c:areaChart>
      <c:catAx>
        <c:axId val="623424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7031163"/>
        <c:crosses val="autoZero"/>
        <c:auto val="1"/>
        <c:lblAlgn val="ctr"/>
        <c:lblOffset val="100"/>
        <c:noMultiLvlLbl val="0"/>
      </c:catAx>
      <c:valAx>
        <c:axId val="6703116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23424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zero"/>
  </c:chart>
  <c:spPr>
    <a:solidFill>
      <a:srgbClr val="ffffff"/>
    </a:solidFill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areaChart>
        <c:grouping val="stacked"/>
        <c:ser>
          <c:idx val="0"/>
          <c:order val="0"/>
          <c:tx>
            <c:strRef>
              <c:f>label 0</c:f>
              <c:strCache>
                <c:ptCount val="1"/>
                <c:pt idx="0">
                  <c:v>Average - Basic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3"/>
                <c:pt idx="0">
                  <c:v>Bsc</c:v>
                </c:pt>
                <c:pt idx="1">
                  <c:v>Diploma</c:v>
                </c:pt>
                <c:pt idx="2">
                  <c:v>Msc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3"/>
                <c:pt idx="0">
                  <c:v>407.733333333333</c:v>
                </c:pt>
                <c:pt idx="1">
                  <c:v>344.666666666667</c:v>
                </c:pt>
                <c:pt idx="2">
                  <c:v>480</c:v>
                </c:pt>
              </c:numCache>
            </c:numRef>
          </c:val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Average - Family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3"/>
                <c:pt idx="0">
                  <c:v>Bsc</c:v>
                </c:pt>
                <c:pt idx="1">
                  <c:v>Diploma</c:v>
                </c:pt>
                <c:pt idx="2">
                  <c:v>Msc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3"/>
                <c:pt idx="0">
                  <c:v>42</c:v>
                </c:pt>
                <c:pt idx="1">
                  <c:v>51.4285714285714</c:v>
                </c:pt>
                <c:pt idx="2">
                  <c:v>120</c:v>
                </c:pt>
              </c:numCache>
            </c:numRef>
          </c:val>
        </c:ser>
        <c:ser>
          <c:idx val="2"/>
          <c:order val="2"/>
          <c:tx>
            <c:strRef>
              <c:f>label 2</c:f>
              <c:strCache>
                <c:ptCount val="1"/>
                <c:pt idx="0">
                  <c:v>Average - Allowance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3"/>
                <c:pt idx="0">
                  <c:v>Bsc</c:v>
                </c:pt>
                <c:pt idx="1">
                  <c:v>Diploma</c:v>
                </c:pt>
                <c:pt idx="2">
                  <c:v>Msc</c:v>
                </c:pt>
              </c:strCache>
            </c:strRef>
          </c:cat>
          <c:val>
            <c:numRef>
              <c:f>2</c:f>
              <c:numCache>
                <c:formatCode>General</c:formatCode>
                <c:ptCount val="3"/>
                <c:pt idx="0">
                  <c:v>78.2</c:v>
                </c:pt>
                <c:pt idx="1">
                  <c:v>83.0476190476191</c:v>
                </c:pt>
                <c:pt idx="2">
                  <c:v>127.5</c:v>
                </c:pt>
              </c:numCache>
            </c:numRef>
          </c:val>
        </c:ser>
        <c:ser>
          <c:idx val="3"/>
          <c:order val="3"/>
          <c:tx>
            <c:strRef>
              <c:f>label 3</c:f>
              <c:strCache>
                <c:ptCount val="1"/>
                <c:pt idx="0">
                  <c:v>Average - Transportation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3"/>
                <c:pt idx="0">
                  <c:v>Bsc</c:v>
                </c:pt>
                <c:pt idx="1">
                  <c:v>Diploma</c:v>
                </c:pt>
                <c:pt idx="2">
                  <c:v>Msc</c:v>
                </c:pt>
              </c:strCache>
            </c:strRef>
          </c:cat>
          <c:val>
            <c:numRef>
              <c:f>3</c:f>
              <c:numCache>
                <c:formatCode>General</c:formatCode>
                <c:ptCount val="3"/>
                <c:pt idx="0">
                  <c:v>107.866666666667</c:v>
                </c:pt>
                <c:pt idx="1">
                  <c:v>107.619047619048</c:v>
                </c:pt>
                <c:pt idx="2">
                  <c:v>102.5</c:v>
                </c:pt>
              </c:numCache>
            </c:numRef>
          </c:val>
        </c:ser>
        <c:ser>
          <c:idx val="4"/>
          <c:order val="4"/>
          <c:tx>
            <c:strRef>
              <c:f>label 4</c:f>
              <c:strCache>
                <c:ptCount val="1"/>
                <c:pt idx="0">
                  <c:v>Average - Housing</c:v>
                </c:pt>
              </c:strCache>
            </c:strRef>
          </c:tx>
          <c:spPr>
            <a:solidFill>
              <a:srgbClr val="7e0021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3"/>
                <c:pt idx="0">
                  <c:v>Bsc</c:v>
                </c:pt>
                <c:pt idx="1">
                  <c:v>Diploma</c:v>
                </c:pt>
                <c:pt idx="2">
                  <c:v>Msc</c:v>
                </c:pt>
              </c:strCache>
            </c:strRef>
          </c:cat>
          <c:val>
            <c:numRef>
              <c:f>4</c:f>
              <c:numCache>
                <c:formatCode>General</c:formatCode>
                <c:ptCount val="3"/>
                <c:pt idx="0">
                  <c:v>125.866666666667</c:v>
                </c:pt>
                <c:pt idx="1">
                  <c:v>127.47619047619</c:v>
                </c:pt>
                <c:pt idx="2">
                  <c:v>174</c:v>
                </c:pt>
              </c:numCache>
            </c:numRef>
          </c:val>
        </c:ser>
        <c:axId val="97333486"/>
        <c:axId val="43721160"/>
      </c:areaChart>
      <c:catAx>
        <c:axId val="9733348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3721160"/>
        <c:crosses val="autoZero"/>
        <c:auto val="1"/>
        <c:lblAlgn val="ctr"/>
        <c:lblOffset val="100"/>
        <c:noMultiLvlLbl val="0"/>
      </c:catAx>
      <c:valAx>
        <c:axId val="4372116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733348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zero"/>
  </c:chart>
  <c:spPr>
    <a:solidFill>
      <a:srgbClr val="ffffff"/>
    </a:solidFill>
    <a:ln w="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Sheet3!$B$1:$B$2</c:f>
              <c:strCache>
                <c:ptCount val="1"/>
                <c:pt idx="0">
                  <c:v>Marital Status Married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Sheet3!$A$3:$A$5</c:f>
              <c:strCache>
                <c:ptCount val="3"/>
                <c:pt idx="0">
                  <c:v>F</c:v>
                </c:pt>
                <c:pt idx="1">
                  <c:v>M</c:v>
                </c:pt>
                <c:pt idx="2">
                  <c:v>Total Result</c:v>
                </c:pt>
              </c:strCache>
            </c:strRef>
          </c:cat>
          <c:val>
            <c:numRef>
              <c:f>Sheet3!$B$3:$B$5</c:f>
              <c:numCache>
                <c:formatCode>General</c:formatCode>
                <c:ptCount val="3"/>
                <c:pt idx="0">
                  <c:v>16</c:v>
                </c:pt>
                <c:pt idx="1">
                  <c:v>5</c:v>
                </c:pt>
                <c:pt idx="2">
                  <c:v>21</c:v>
                </c:pt>
              </c:numCache>
            </c:numRef>
          </c:val>
        </c:ser>
        <c:ser>
          <c:idx val="1"/>
          <c:order val="1"/>
          <c:tx>
            <c:strRef>
              <c:f>Sheet3!$C$1:$C$2</c:f>
              <c:strCache>
                <c:ptCount val="1"/>
                <c:pt idx="0">
                  <c:v>Single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Sheet3!$A$3:$A$5</c:f>
              <c:strCache>
                <c:ptCount val="3"/>
                <c:pt idx="0">
                  <c:v>F</c:v>
                </c:pt>
                <c:pt idx="1">
                  <c:v>M</c:v>
                </c:pt>
                <c:pt idx="2">
                  <c:v>Total Result</c:v>
                </c:pt>
              </c:strCache>
            </c:strRef>
          </c:cat>
          <c:val>
            <c:numRef>
              <c:f>Sheet3!$C$3:$C$5</c:f>
              <c:numCache>
                <c:formatCode>General</c:formatCode>
                <c:ptCount val="3"/>
                <c:pt idx="0">
                  <c:v>12</c:v>
                </c:pt>
                <c:pt idx="1">
                  <c:v>5</c:v>
                </c:pt>
                <c:pt idx="2">
                  <c:v>17</c:v>
                </c:pt>
              </c:numCache>
            </c:numRef>
          </c:val>
        </c:ser>
        <c:gapWidth val="150"/>
        <c:overlap val="0"/>
        <c:axId val="71020695"/>
        <c:axId val="92236267"/>
      </c:barChart>
      <c:catAx>
        <c:axId val="7102069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236267"/>
        <c:crosses val="autoZero"/>
        <c:auto val="1"/>
        <c:lblAlgn val="ctr"/>
        <c:lblOffset val="100"/>
        <c:noMultiLvlLbl val="0"/>
      </c:catAx>
      <c:valAx>
        <c:axId val="922362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0206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22</xdr:col>
      <xdr:colOff>799560</xdr:colOff>
      <xdr:row>0</xdr:row>
      <xdr:rowOff>189360</xdr:rowOff>
    </xdr:from>
    <xdr:to>
      <xdr:col>28</xdr:col>
      <xdr:colOff>216000</xdr:colOff>
      <xdr:row>12</xdr:row>
      <xdr:rowOff>147600</xdr:rowOff>
    </xdr:to>
    <xdr:graphicFrame>
      <xdr:nvGraphicFramePr>
        <xdr:cNvPr id="0" name="Chart 7"/>
        <xdr:cNvGraphicFramePr/>
      </xdr:nvGraphicFramePr>
      <xdr:xfrm>
        <a:off x="17547840" y="189360"/>
        <a:ext cx="4293000" cy="2244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23</xdr:col>
      <xdr:colOff>1440</xdr:colOff>
      <xdr:row>13</xdr:row>
      <xdr:rowOff>159480</xdr:rowOff>
    </xdr:from>
    <xdr:to>
      <xdr:col>28</xdr:col>
      <xdr:colOff>245520</xdr:colOff>
      <xdr:row>25</xdr:row>
      <xdr:rowOff>128880</xdr:rowOff>
    </xdr:to>
    <xdr:graphicFrame>
      <xdr:nvGraphicFramePr>
        <xdr:cNvPr id="1" name="Chart 10"/>
        <xdr:cNvGraphicFramePr/>
      </xdr:nvGraphicFramePr>
      <xdr:xfrm>
        <a:off x="17562240" y="2635920"/>
        <a:ext cx="4308120" cy="2255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22</xdr:col>
      <xdr:colOff>809640</xdr:colOff>
      <xdr:row>27</xdr:row>
      <xdr:rowOff>29160</xdr:rowOff>
    </xdr:from>
    <xdr:to>
      <xdr:col>28</xdr:col>
      <xdr:colOff>282600</xdr:colOff>
      <xdr:row>41</xdr:row>
      <xdr:rowOff>104040</xdr:rowOff>
    </xdr:to>
    <xdr:graphicFrame>
      <xdr:nvGraphicFramePr>
        <xdr:cNvPr id="2" name="Chart 11"/>
        <xdr:cNvGraphicFramePr/>
      </xdr:nvGraphicFramePr>
      <xdr:xfrm>
        <a:off x="17557920" y="5172840"/>
        <a:ext cx="4349520" cy="2741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23</xdr:col>
      <xdr:colOff>11160</xdr:colOff>
      <xdr:row>42</xdr:row>
      <xdr:rowOff>163440</xdr:rowOff>
    </xdr:from>
    <xdr:to>
      <xdr:col>28</xdr:col>
      <xdr:colOff>298080</xdr:colOff>
      <xdr:row>57</xdr:row>
      <xdr:rowOff>47880</xdr:rowOff>
    </xdr:to>
    <xdr:graphicFrame>
      <xdr:nvGraphicFramePr>
        <xdr:cNvPr id="3" name="Chart 20"/>
        <xdr:cNvGraphicFramePr/>
      </xdr:nvGraphicFramePr>
      <xdr:xfrm>
        <a:off x="17571960" y="8164440"/>
        <a:ext cx="435096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12</xdr:col>
      <xdr:colOff>264960</xdr:colOff>
      <xdr:row>41</xdr:row>
      <xdr:rowOff>65520</xdr:rowOff>
    </xdr:from>
    <xdr:to>
      <xdr:col>18</xdr:col>
      <xdr:colOff>814320</xdr:colOff>
      <xdr:row>58</xdr:row>
      <xdr:rowOff>66240</xdr:rowOff>
    </xdr:to>
    <xdr:graphicFrame>
      <xdr:nvGraphicFramePr>
        <xdr:cNvPr id="4" name=""/>
        <xdr:cNvGraphicFramePr/>
      </xdr:nvGraphicFramePr>
      <xdr:xfrm>
        <a:off x="8557560" y="787608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1473120</xdr:colOff>
      <xdr:row>9</xdr:row>
      <xdr:rowOff>114840</xdr:rowOff>
    </xdr:from>
    <xdr:to>
      <xdr:col>11</xdr:col>
      <xdr:colOff>129600</xdr:colOff>
      <xdr:row>28</xdr:row>
      <xdr:rowOff>21600</xdr:rowOff>
    </xdr:to>
    <xdr:graphicFrame>
      <xdr:nvGraphicFramePr>
        <xdr:cNvPr id="5" name=""/>
        <xdr:cNvGraphicFramePr/>
      </xdr:nvGraphicFramePr>
      <xdr:xfrm>
        <a:off x="6464880" y="1692360"/>
        <a:ext cx="5760360" cy="323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542880</xdr:colOff>
      <xdr:row>0</xdr:row>
      <xdr:rowOff>152280</xdr:rowOff>
    </xdr:from>
    <xdr:to>
      <xdr:col>13</xdr:col>
      <xdr:colOff>7920</xdr:colOff>
      <xdr:row>15</xdr:row>
      <xdr:rowOff>189000</xdr:rowOff>
    </xdr:to>
    <xdr:graphicFrame>
      <xdr:nvGraphicFramePr>
        <xdr:cNvPr id="6" name="Chart 1"/>
        <xdr:cNvGraphicFramePr/>
      </xdr:nvGraphicFramePr>
      <xdr:xfrm>
        <a:off x="4417560" y="152280"/>
        <a:ext cx="5529240" cy="2894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8" createdVersion="3">
  <cacheSource type="worksheet">
    <worksheetSource ref="A1:L39" sheet="Salaries Complete"/>
  </cacheSource>
  <cacheFields count="12">
    <cacheField name="id" numFmtId="0">
      <sharedItems containsSemiMixedTypes="0" containsString="0" containsNumber="1" containsInteger="1" minValue="1" maxValue="38" count="38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</sharedItems>
    </cacheField>
    <cacheField name="Name" numFmtId="0">
      <sharedItems count="2">
        <s v="Ab"/>
        <s v="Ah"/>
      </sharedItems>
    </cacheField>
    <cacheField name="Gender" numFmtId="0">
      <sharedItems count="2">
        <s v="F"/>
        <s v="M"/>
      </sharedItems>
    </cacheField>
    <cacheField name="Degree" numFmtId="0">
      <sharedItems count="3">
        <s v="Bsc"/>
        <s v="Diploma"/>
        <s v="Msc"/>
      </sharedItems>
    </cacheField>
    <cacheField name="Experience" numFmtId="0">
      <sharedItems containsSemiMixedTypes="0" containsString="0" containsNumber="1" containsInteger="1" minValue="3" maxValue="21" count="14">
        <n v="3"/>
        <n v="4"/>
        <n v="5"/>
        <n v="6"/>
        <n v="7"/>
        <n v="8"/>
        <n v="9"/>
        <n v="10"/>
        <n v="12"/>
        <n v="13"/>
        <n v="14"/>
        <n v="15"/>
        <n v="20"/>
        <n v="21"/>
      </sharedItems>
    </cacheField>
    <cacheField name="Marital Status" numFmtId="0">
      <sharedItems count="2">
        <s v="Married"/>
        <s v="Single"/>
      </sharedItems>
    </cacheField>
    <cacheField name="Dependents" numFmtId="0">
      <sharedItems containsSemiMixedTypes="0" containsString="0" containsNumber="1" containsInteger="1" minValue="0" maxValue="6" count="7">
        <n v="0"/>
        <n v="1"/>
        <n v="2"/>
        <n v="3"/>
        <n v="4"/>
        <n v="5"/>
        <n v="6"/>
      </sharedItems>
    </cacheField>
    <cacheField name="Transportation" numFmtId="0">
      <sharedItems containsSemiMixedTypes="0" containsString="0" containsNumber="1" containsInteger="1" minValue="100" maxValue="120" count="5">
        <n v="100"/>
        <n v="104"/>
        <n v="105"/>
        <n v="110"/>
        <n v="120"/>
      </sharedItems>
    </cacheField>
    <cacheField name="Housing" numFmtId="0">
      <sharedItems containsSemiMixedTypes="0" containsString="0" containsNumber="1" containsInteger="1" minValue="88" maxValue="300" count="11">
        <n v="88"/>
        <n v="90"/>
        <n v="98"/>
        <n v="100"/>
        <n v="102"/>
        <n v="105"/>
        <n v="110"/>
        <n v="230"/>
        <n v="250"/>
        <n v="280"/>
        <n v="300"/>
      </sharedItems>
    </cacheField>
    <cacheField name="Basic" numFmtId="0">
      <sharedItems containsSemiMixedTypes="0" containsString="0" containsNumber="1" containsInteger="1" minValue="280" maxValue="480" count="11">
        <n v="280"/>
        <n v="310"/>
        <n v="321"/>
        <n v="350"/>
        <n v="380"/>
        <n v="400"/>
        <n v="410"/>
        <n v="411"/>
        <n v="420"/>
        <n v="435"/>
        <n v="480"/>
      </sharedItems>
    </cacheField>
    <cacheField name="Allowance" numFmtId="0">
      <sharedItems containsSemiMixedTypes="0" containsString="0" containsNumber="1" containsInteger="1" minValue="32" maxValue="195" count="21">
        <n v="32"/>
        <n v="34"/>
        <n v="40"/>
        <n v="44"/>
        <n v="45"/>
        <n v="50"/>
        <n v="56"/>
        <n v="60"/>
        <n v="64"/>
        <n v="70"/>
        <n v="72"/>
        <n v="80"/>
        <n v="90"/>
        <n v="96"/>
        <n v="100"/>
        <n v="104"/>
        <n v="112"/>
        <n v="150"/>
        <n v="160"/>
        <n v="168"/>
        <n v="195"/>
      </sharedItems>
    </cacheField>
    <cacheField name="Family" numFmtId="0">
      <sharedItems containsSemiMixedTypes="0" containsString="0" containsNumber="1" containsInteger="1" minValue="0" maxValue="180" count="7">
        <n v="0"/>
        <n v="30"/>
        <n v="60"/>
        <n v="90"/>
        <n v="120"/>
        <n v="150"/>
        <n v="18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38" createdVersion="3">
  <cacheSource type="worksheet">
    <worksheetSource ref="A1:J39" sheet="Salaries Complete"/>
  </cacheSource>
  <cacheFields count="10">
    <cacheField name="id" numFmtId="0">
      <sharedItems containsSemiMixedTypes="0" containsString="0" containsNumber="1" containsInteger="1" minValue="1" maxValue="38" count="38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</sharedItems>
    </cacheField>
    <cacheField name="Name" numFmtId="0">
      <sharedItems count="2">
        <s v="Ab"/>
        <s v="Ah"/>
      </sharedItems>
    </cacheField>
    <cacheField name="Gender" numFmtId="0">
      <sharedItems count="2">
        <s v="F"/>
        <s v="M"/>
      </sharedItems>
    </cacheField>
    <cacheField name="Degree" numFmtId="0">
      <sharedItems count="3">
        <s v="Bsc"/>
        <s v="Diploma"/>
        <s v="Msc"/>
      </sharedItems>
    </cacheField>
    <cacheField name="Experience" numFmtId="0">
      <sharedItems containsSemiMixedTypes="0" containsString="0" containsNumber="1" containsInteger="1" minValue="3" maxValue="21" count="14">
        <n v="3"/>
        <n v="4"/>
        <n v="5"/>
        <n v="6"/>
        <n v="7"/>
        <n v="8"/>
        <n v="9"/>
        <n v="10"/>
        <n v="12"/>
        <n v="13"/>
        <n v="14"/>
        <n v="15"/>
        <n v="20"/>
        <n v="21"/>
      </sharedItems>
    </cacheField>
    <cacheField name="Marital Status" numFmtId="0">
      <sharedItems count="2">
        <s v="Married"/>
        <s v="Single"/>
      </sharedItems>
    </cacheField>
    <cacheField name="Dependents" numFmtId="0">
      <sharedItems containsSemiMixedTypes="0" containsString="0" containsNumber="1" containsInteger="1" minValue="0" maxValue="6" count="7">
        <n v="0"/>
        <n v="1"/>
        <n v="2"/>
        <n v="3"/>
        <n v="4"/>
        <n v="5"/>
        <n v="6"/>
      </sharedItems>
    </cacheField>
    <cacheField name="Transportation" numFmtId="0">
      <sharedItems containsSemiMixedTypes="0" containsString="0" containsNumber="1" containsInteger="1" minValue="100" maxValue="120" count="5">
        <n v="100"/>
        <n v="104"/>
        <n v="105"/>
        <n v="110"/>
        <n v="120"/>
      </sharedItems>
    </cacheField>
    <cacheField name="Housing" numFmtId="0">
      <sharedItems containsSemiMixedTypes="0" containsString="0" containsNumber="1" containsInteger="1" minValue="88" maxValue="300" count="11">
        <n v="88"/>
        <n v="90"/>
        <n v="98"/>
        <n v="100"/>
        <n v="102"/>
        <n v="105"/>
        <n v="110"/>
        <n v="230"/>
        <n v="250"/>
        <n v="280"/>
        <n v="300"/>
      </sharedItems>
    </cacheField>
    <cacheField name="Basic" numFmtId="0">
      <sharedItems containsSemiMixedTypes="0" containsString="0" containsNumber="1" containsInteger="1" minValue="280" maxValue="480" count="11">
        <n v="280"/>
        <n v="310"/>
        <n v="321"/>
        <n v="350"/>
        <n v="380"/>
        <n v="400"/>
        <n v="410"/>
        <n v="411"/>
        <n v="420"/>
        <n v="435"/>
        <n v="48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8">
  <r>
    <x v="17"/>
    <x v="0"/>
    <x v="0"/>
    <x v="0"/>
    <x v="0"/>
    <x v="0"/>
    <x v="3"/>
    <x v="0"/>
    <x v="3"/>
    <x v="5"/>
    <x v="1"/>
    <x v="3"/>
  </r>
  <r>
    <x v="15"/>
    <x v="0"/>
    <x v="0"/>
    <x v="0"/>
    <x v="1"/>
    <x v="0"/>
    <x v="2"/>
    <x v="3"/>
    <x v="0"/>
    <x v="5"/>
    <x v="3"/>
    <x v="2"/>
  </r>
  <r>
    <x v="0"/>
    <x v="1"/>
    <x v="0"/>
    <x v="0"/>
    <x v="2"/>
    <x v="0"/>
    <x v="3"/>
    <x v="4"/>
    <x v="3"/>
    <x v="5"/>
    <x v="5"/>
    <x v="3"/>
  </r>
  <r>
    <x v="28"/>
    <x v="1"/>
    <x v="0"/>
    <x v="0"/>
    <x v="2"/>
    <x v="0"/>
    <x v="0"/>
    <x v="1"/>
    <x v="4"/>
    <x v="5"/>
    <x v="5"/>
    <x v="0"/>
  </r>
  <r>
    <x v="19"/>
    <x v="0"/>
    <x v="0"/>
    <x v="0"/>
    <x v="4"/>
    <x v="0"/>
    <x v="3"/>
    <x v="2"/>
    <x v="6"/>
    <x v="6"/>
    <x v="9"/>
    <x v="3"/>
  </r>
  <r>
    <x v="4"/>
    <x v="1"/>
    <x v="1"/>
    <x v="0"/>
    <x v="6"/>
    <x v="0"/>
    <x v="4"/>
    <x v="0"/>
    <x v="10"/>
    <x v="6"/>
    <x v="12"/>
    <x v="4"/>
  </r>
  <r>
    <x v="13"/>
    <x v="0"/>
    <x v="0"/>
    <x v="0"/>
    <x v="7"/>
    <x v="0"/>
    <x v="5"/>
    <x v="3"/>
    <x v="6"/>
    <x v="5"/>
    <x v="14"/>
    <x v="5"/>
  </r>
  <r>
    <x v="14"/>
    <x v="1"/>
    <x v="0"/>
    <x v="0"/>
    <x v="11"/>
    <x v="0"/>
    <x v="1"/>
    <x v="4"/>
    <x v="5"/>
    <x v="9"/>
    <x v="17"/>
    <x v="1"/>
  </r>
  <r>
    <x v="26"/>
    <x v="1"/>
    <x v="0"/>
    <x v="1"/>
    <x v="1"/>
    <x v="0"/>
    <x v="1"/>
    <x v="1"/>
    <x v="3"/>
    <x v="2"/>
    <x v="0"/>
    <x v="1"/>
  </r>
  <r>
    <x v="8"/>
    <x v="1"/>
    <x v="1"/>
    <x v="1"/>
    <x v="1"/>
    <x v="0"/>
    <x v="2"/>
    <x v="2"/>
    <x v="8"/>
    <x v="3"/>
    <x v="0"/>
    <x v="2"/>
  </r>
  <r>
    <x v="11"/>
    <x v="0"/>
    <x v="0"/>
    <x v="1"/>
    <x v="2"/>
    <x v="0"/>
    <x v="3"/>
    <x v="0"/>
    <x v="3"/>
    <x v="2"/>
    <x v="2"/>
    <x v="3"/>
  </r>
  <r>
    <x v="12"/>
    <x v="1"/>
    <x v="0"/>
    <x v="1"/>
    <x v="4"/>
    <x v="0"/>
    <x v="2"/>
    <x v="3"/>
    <x v="4"/>
    <x v="7"/>
    <x v="6"/>
    <x v="2"/>
  </r>
  <r>
    <x v="16"/>
    <x v="1"/>
    <x v="0"/>
    <x v="1"/>
    <x v="5"/>
    <x v="0"/>
    <x v="2"/>
    <x v="4"/>
    <x v="2"/>
    <x v="3"/>
    <x v="8"/>
    <x v="2"/>
  </r>
  <r>
    <x v="18"/>
    <x v="1"/>
    <x v="0"/>
    <x v="1"/>
    <x v="6"/>
    <x v="0"/>
    <x v="3"/>
    <x v="1"/>
    <x v="4"/>
    <x v="0"/>
    <x v="10"/>
    <x v="3"/>
  </r>
  <r>
    <x v="21"/>
    <x v="0"/>
    <x v="0"/>
    <x v="1"/>
    <x v="8"/>
    <x v="0"/>
    <x v="4"/>
    <x v="2"/>
    <x v="5"/>
    <x v="1"/>
    <x v="13"/>
    <x v="4"/>
  </r>
  <r>
    <x v="37"/>
    <x v="0"/>
    <x v="0"/>
    <x v="1"/>
    <x v="8"/>
    <x v="0"/>
    <x v="5"/>
    <x v="0"/>
    <x v="7"/>
    <x v="3"/>
    <x v="13"/>
    <x v="5"/>
  </r>
  <r>
    <x v="22"/>
    <x v="1"/>
    <x v="0"/>
    <x v="1"/>
    <x v="9"/>
    <x v="0"/>
    <x v="4"/>
    <x v="3"/>
    <x v="0"/>
    <x v="3"/>
    <x v="15"/>
    <x v="4"/>
  </r>
  <r>
    <x v="3"/>
    <x v="0"/>
    <x v="1"/>
    <x v="1"/>
    <x v="9"/>
    <x v="0"/>
    <x v="4"/>
    <x v="4"/>
    <x v="9"/>
    <x v="0"/>
    <x v="15"/>
    <x v="4"/>
  </r>
  <r>
    <x v="10"/>
    <x v="1"/>
    <x v="1"/>
    <x v="1"/>
    <x v="10"/>
    <x v="0"/>
    <x v="6"/>
    <x v="1"/>
    <x v="8"/>
    <x v="4"/>
    <x v="16"/>
    <x v="6"/>
  </r>
  <r>
    <x v="9"/>
    <x v="0"/>
    <x v="1"/>
    <x v="2"/>
    <x v="1"/>
    <x v="0"/>
    <x v="4"/>
    <x v="2"/>
    <x v="8"/>
    <x v="10"/>
    <x v="7"/>
    <x v="4"/>
  </r>
  <r>
    <x v="24"/>
    <x v="1"/>
    <x v="0"/>
    <x v="2"/>
    <x v="9"/>
    <x v="0"/>
    <x v="4"/>
    <x v="0"/>
    <x v="2"/>
    <x v="10"/>
    <x v="20"/>
    <x v="4"/>
  </r>
  <r>
    <x v="2"/>
    <x v="1"/>
    <x v="0"/>
    <x v="0"/>
    <x v="1"/>
    <x v="1"/>
    <x v="0"/>
    <x v="0"/>
    <x v="6"/>
    <x v="5"/>
    <x v="4"/>
    <x v="0"/>
  </r>
  <r>
    <x v="32"/>
    <x v="1"/>
    <x v="0"/>
    <x v="0"/>
    <x v="3"/>
    <x v="1"/>
    <x v="0"/>
    <x v="3"/>
    <x v="2"/>
    <x v="5"/>
    <x v="7"/>
    <x v="0"/>
  </r>
  <r>
    <x v="35"/>
    <x v="0"/>
    <x v="0"/>
    <x v="0"/>
    <x v="3"/>
    <x v="1"/>
    <x v="0"/>
    <x v="4"/>
    <x v="8"/>
    <x v="8"/>
    <x v="7"/>
    <x v="0"/>
  </r>
  <r>
    <x v="30"/>
    <x v="1"/>
    <x v="0"/>
    <x v="0"/>
    <x v="5"/>
    <x v="1"/>
    <x v="0"/>
    <x v="1"/>
    <x v="5"/>
    <x v="5"/>
    <x v="11"/>
    <x v="0"/>
  </r>
  <r>
    <x v="34"/>
    <x v="1"/>
    <x v="0"/>
    <x v="0"/>
    <x v="5"/>
    <x v="1"/>
    <x v="0"/>
    <x v="2"/>
    <x v="4"/>
    <x v="6"/>
    <x v="11"/>
    <x v="0"/>
  </r>
  <r>
    <x v="20"/>
    <x v="1"/>
    <x v="1"/>
    <x v="0"/>
    <x v="7"/>
    <x v="1"/>
    <x v="0"/>
    <x v="0"/>
    <x v="6"/>
    <x v="8"/>
    <x v="14"/>
    <x v="0"/>
  </r>
  <r>
    <x v="27"/>
    <x v="0"/>
    <x v="1"/>
    <x v="0"/>
    <x v="12"/>
    <x v="1"/>
    <x v="0"/>
    <x v="3"/>
    <x v="2"/>
    <x v="7"/>
    <x v="18"/>
    <x v="0"/>
  </r>
  <r>
    <x v="7"/>
    <x v="0"/>
    <x v="0"/>
    <x v="1"/>
    <x v="1"/>
    <x v="1"/>
    <x v="0"/>
    <x v="4"/>
    <x v="2"/>
    <x v="3"/>
    <x v="0"/>
    <x v="0"/>
  </r>
  <r>
    <x v="31"/>
    <x v="0"/>
    <x v="0"/>
    <x v="1"/>
    <x v="5"/>
    <x v="1"/>
    <x v="0"/>
    <x v="1"/>
    <x v="0"/>
    <x v="3"/>
    <x v="8"/>
    <x v="0"/>
  </r>
  <r>
    <x v="23"/>
    <x v="0"/>
    <x v="1"/>
    <x v="1"/>
    <x v="5"/>
    <x v="1"/>
    <x v="0"/>
    <x v="2"/>
    <x v="5"/>
    <x v="3"/>
    <x v="8"/>
    <x v="0"/>
  </r>
  <r>
    <x v="33"/>
    <x v="0"/>
    <x v="0"/>
    <x v="1"/>
    <x v="6"/>
    <x v="1"/>
    <x v="0"/>
    <x v="0"/>
    <x v="3"/>
    <x v="0"/>
    <x v="10"/>
    <x v="0"/>
  </r>
  <r>
    <x v="25"/>
    <x v="0"/>
    <x v="1"/>
    <x v="1"/>
    <x v="6"/>
    <x v="1"/>
    <x v="0"/>
    <x v="3"/>
    <x v="0"/>
    <x v="4"/>
    <x v="10"/>
    <x v="0"/>
  </r>
  <r>
    <x v="5"/>
    <x v="0"/>
    <x v="0"/>
    <x v="1"/>
    <x v="8"/>
    <x v="1"/>
    <x v="0"/>
    <x v="4"/>
    <x v="5"/>
    <x v="8"/>
    <x v="13"/>
    <x v="0"/>
  </r>
  <r>
    <x v="36"/>
    <x v="1"/>
    <x v="1"/>
    <x v="1"/>
    <x v="8"/>
    <x v="1"/>
    <x v="0"/>
    <x v="1"/>
    <x v="3"/>
    <x v="1"/>
    <x v="13"/>
    <x v="0"/>
  </r>
  <r>
    <x v="29"/>
    <x v="0"/>
    <x v="0"/>
    <x v="1"/>
    <x v="10"/>
    <x v="1"/>
    <x v="0"/>
    <x v="2"/>
    <x v="6"/>
    <x v="9"/>
    <x v="16"/>
    <x v="0"/>
  </r>
  <r>
    <x v="1"/>
    <x v="0"/>
    <x v="0"/>
    <x v="1"/>
    <x v="12"/>
    <x v="1"/>
    <x v="0"/>
    <x v="0"/>
    <x v="1"/>
    <x v="3"/>
    <x v="18"/>
    <x v="0"/>
  </r>
  <r>
    <x v="6"/>
    <x v="1"/>
    <x v="0"/>
    <x v="1"/>
    <x v="13"/>
    <x v="1"/>
    <x v="0"/>
    <x v="3"/>
    <x v="0"/>
    <x v="1"/>
    <x v="19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8">
  <r>
    <x v="17"/>
    <x v="0"/>
    <x v="0"/>
    <x v="0"/>
    <x v="0"/>
    <x v="0"/>
    <x v="3"/>
    <x v="0"/>
    <x v="3"/>
    <x v="5"/>
  </r>
  <r>
    <x v="15"/>
    <x v="0"/>
    <x v="0"/>
    <x v="0"/>
    <x v="1"/>
    <x v="0"/>
    <x v="2"/>
    <x v="3"/>
    <x v="0"/>
    <x v="5"/>
  </r>
  <r>
    <x v="0"/>
    <x v="1"/>
    <x v="0"/>
    <x v="0"/>
    <x v="2"/>
    <x v="0"/>
    <x v="3"/>
    <x v="4"/>
    <x v="3"/>
    <x v="5"/>
  </r>
  <r>
    <x v="28"/>
    <x v="1"/>
    <x v="0"/>
    <x v="0"/>
    <x v="2"/>
    <x v="0"/>
    <x v="0"/>
    <x v="1"/>
    <x v="4"/>
    <x v="5"/>
  </r>
  <r>
    <x v="19"/>
    <x v="0"/>
    <x v="0"/>
    <x v="0"/>
    <x v="4"/>
    <x v="0"/>
    <x v="3"/>
    <x v="2"/>
    <x v="6"/>
    <x v="6"/>
  </r>
  <r>
    <x v="4"/>
    <x v="1"/>
    <x v="1"/>
    <x v="0"/>
    <x v="6"/>
    <x v="0"/>
    <x v="4"/>
    <x v="0"/>
    <x v="10"/>
    <x v="6"/>
  </r>
  <r>
    <x v="13"/>
    <x v="0"/>
    <x v="0"/>
    <x v="0"/>
    <x v="7"/>
    <x v="0"/>
    <x v="5"/>
    <x v="3"/>
    <x v="6"/>
    <x v="5"/>
  </r>
  <r>
    <x v="14"/>
    <x v="1"/>
    <x v="0"/>
    <x v="0"/>
    <x v="11"/>
    <x v="0"/>
    <x v="1"/>
    <x v="4"/>
    <x v="5"/>
    <x v="9"/>
  </r>
  <r>
    <x v="26"/>
    <x v="1"/>
    <x v="0"/>
    <x v="1"/>
    <x v="1"/>
    <x v="0"/>
    <x v="1"/>
    <x v="1"/>
    <x v="3"/>
    <x v="2"/>
  </r>
  <r>
    <x v="8"/>
    <x v="1"/>
    <x v="1"/>
    <x v="1"/>
    <x v="1"/>
    <x v="0"/>
    <x v="2"/>
    <x v="2"/>
    <x v="8"/>
    <x v="3"/>
  </r>
  <r>
    <x v="11"/>
    <x v="0"/>
    <x v="0"/>
    <x v="1"/>
    <x v="2"/>
    <x v="0"/>
    <x v="3"/>
    <x v="0"/>
    <x v="3"/>
    <x v="2"/>
  </r>
  <r>
    <x v="12"/>
    <x v="1"/>
    <x v="0"/>
    <x v="1"/>
    <x v="4"/>
    <x v="0"/>
    <x v="2"/>
    <x v="3"/>
    <x v="4"/>
    <x v="7"/>
  </r>
  <r>
    <x v="16"/>
    <x v="1"/>
    <x v="0"/>
    <x v="1"/>
    <x v="5"/>
    <x v="0"/>
    <x v="2"/>
    <x v="4"/>
    <x v="2"/>
    <x v="3"/>
  </r>
  <r>
    <x v="18"/>
    <x v="1"/>
    <x v="0"/>
    <x v="1"/>
    <x v="6"/>
    <x v="0"/>
    <x v="3"/>
    <x v="1"/>
    <x v="4"/>
    <x v="0"/>
  </r>
  <r>
    <x v="21"/>
    <x v="0"/>
    <x v="0"/>
    <x v="1"/>
    <x v="8"/>
    <x v="0"/>
    <x v="4"/>
    <x v="2"/>
    <x v="5"/>
    <x v="1"/>
  </r>
  <r>
    <x v="37"/>
    <x v="0"/>
    <x v="0"/>
    <x v="1"/>
    <x v="8"/>
    <x v="0"/>
    <x v="5"/>
    <x v="0"/>
    <x v="7"/>
    <x v="3"/>
  </r>
  <r>
    <x v="22"/>
    <x v="1"/>
    <x v="0"/>
    <x v="1"/>
    <x v="9"/>
    <x v="0"/>
    <x v="4"/>
    <x v="3"/>
    <x v="0"/>
    <x v="3"/>
  </r>
  <r>
    <x v="3"/>
    <x v="0"/>
    <x v="1"/>
    <x v="1"/>
    <x v="9"/>
    <x v="0"/>
    <x v="4"/>
    <x v="4"/>
    <x v="9"/>
    <x v="0"/>
  </r>
  <r>
    <x v="10"/>
    <x v="1"/>
    <x v="1"/>
    <x v="1"/>
    <x v="10"/>
    <x v="0"/>
    <x v="6"/>
    <x v="1"/>
    <x v="8"/>
    <x v="4"/>
  </r>
  <r>
    <x v="9"/>
    <x v="0"/>
    <x v="1"/>
    <x v="2"/>
    <x v="1"/>
    <x v="0"/>
    <x v="4"/>
    <x v="2"/>
    <x v="8"/>
    <x v="10"/>
  </r>
  <r>
    <x v="24"/>
    <x v="1"/>
    <x v="0"/>
    <x v="2"/>
    <x v="9"/>
    <x v="0"/>
    <x v="4"/>
    <x v="0"/>
    <x v="2"/>
    <x v="10"/>
  </r>
  <r>
    <x v="2"/>
    <x v="1"/>
    <x v="0"/>
    <x v="0"/>
    <x v="1"/>
    <x v="1"/>
    <x v="0"/>
    <x v="0"/>
    <x v="6"/>
    <x v="5"/>
  </r>
  <r>
    <x v="32"/>
    <x v="1"/>
    <x v="0"/>
    <x v="0"/>
    <x v="3"/>
    <x v="1"/>
    <x v="0"/>
    <x v="3"/>
    <x v="2"/>
    <x v="5"/>
  </r>
  <r>
    <x v="35"/>
    <x v="0"/>
    <x v="0"/>
    <x v="0"/>
    <x v="3"/>
    <x v="1"/>
    <x v="0"/>
    <x v="4"/>
    <x v="8"/>
    <x v="8"/>
  </r>
  <r>
    <x v="30"/>
    <x v="1"/>
    <x v="0"/>
    <x v="0"/>
    <x v="5"/>
    <x v="1"/>
    <x v="0"/>
    <x v="1"/>
    <x v="5"/>
    <x v="5"/>
  </r>
  <r>
    <x v="34"/>
    <x v="1"/>
    <x v="0"/>
    <x v="0"/>
    <x v="5"/>
    <x v="1"/>
    <x v="0"/>
    <x v="2"/>
    <x v="4"/>
    <x v="6"/>
  </r>
  <r>
    <x v="20"/>
    <x v="1"/>
    <x v="1"/>
    <x v="0"/>
    <x v="7"/>
    <x v="1"/>
    <x v="0"/>
    <x v="0"/>
    <x v="6"/>
    <x v="8"/>
  </r>
  <r>
    <x v="27"/>
    <x v="0"/>
    <x v="1"/>
    <x v="0"/>
    <x v="12"/>
    <x v="1"/>
    <x v="0"/>
    <x v="3"/>
    <x v="2"/>
    <x v="7"/>
  </r>
  <r>
    <x v="7"/>
    <x v="0"/>
    <x v="0"/>
    <x v="1"/>
    <x v="1"/>
    <x v="1"/>
    <x v="0"/>
    <x v="4"/>
    <x v="2"/>
    <x v="3"/>
  </r>
  <r>
    <x v="31"/>
    <x v="0"/>
    <x v="0"/>
    <x v="1"/>
    <x v="5"/>
    <x v="1"/>
    <x v="0"/>
    <x v="1"/>
    <x v="0"/>
    <x v="3"/>
  </r>
  <r>
    <x v="23"/>
    <x v="0"/>
    <x v="1"/>
    <x v="1"/>
    <x v="5"/>
    <x v="1"/>
    <x v="0"/>
    <x v="2"/>
    <x v="5"/>
    <x v="3"/>
  </r>
  <r>
    <x v="33"/>
    <x v="0"/>
    <x v="0"/>
    <x v="1"/>
    <x v="6"/>
    <x v="1"/>
    <x v="0"/>
    <x v="0"/>
    <x v="3"/>
    <x v="0"/>
  </r>
  <r>
    <x v="25"/>
    <x v="0"/>
    <x v="1"/>
    <x v="1"/>
    <x v="6"/>
    <x v="1"/>
    <x v="0"/>
    <x v="3"/>
    <x v="0"/>
    <x v="4"/>
  </r>
  <r>
    <x v="5"/>
    <x v="0"/>
    <x v="0"/>
    <x v="1"/>
    <x v="8"/>
    <x v="1"/>
    <x v="0"/>
    <x v="4"/>
    <x v="5"/>
    <x v="8"/>
  </r>
  <r>
    <x v="36"/>
    <x v="1"/>
    <x v="1"/>
    <x v="1"/>
    <x v="8"/>
    <x v="1"/>
    <x v="0"/>
    <x v="1"/>
    <x v="3"/>
    <x v="1"/>
  </r>
  <r>
    <x v="29"/>
    <x v="0"/>
    <x v="0"/>
    <x v="1"/>
    <x v="10"/>
    <x v="1"/>
    <x v="0"/>
    <x v="2"/>
    <x v="6"/>
    <x v="9"/>
  </r>
  <r>
    <x v="1"/>
    <x v="0"/>
    <x v="0"/>
    <x v="1"/>
    <x v="12"/>
    <x v="1"/>
    <x v="0"/>
    <x v="0"/>
    <x v="1"/>
    <x v="3"/>
  </r>
  <r>
    <x v="6"/>
    <x v="1"/>
    <x v="0"/>
    <x v="1"/>
    <x v="13"/>
    <x v="1"/>
    <x v="0"/>
    <x v="3"/>
    <x v="0"/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F6" firstHeaderRow="1" firstDataRow="2" firstDataCol="1"/>
  <pivotFields count="12">
    <pivotField compact="0" showAll="0"/>
    <pivotField compact="0" showAll="0"/>
    <pivotField compact="0" showAll="0"/>
    <pivotField axis="axisRow" compact="0" showAll="0" defaultSubtotal="0" outline="0">
      <items count="3">
        <item x="0"/>
        <item x="1"/>
        <item x="2"/>
      </items>
    </pivotField>
    <pivotField compact="0" showAll="0"/>
    <pivotField compact="0" showAll="0"/>
    <pivotField compact="0" showAll="0"/>
    <pivotField dataField="1" compact="0" showAll="0" outline="0"/>
    <pivotField dataField="1" compact="0" showAll="0" outline="0"/>
    <pivotField dataField="1" compact="0" showAll="0" outline="0"/>
    <pivotField dataField="1" compact="0" showAll="0" outline="0"/>
    <pivotField dataField="1" compact="0" showAll="0" outline="0"/>
  </pivotFields>
  <rowFields count="1">
    <field x="3"/>
  </rowFields>
  <colFields count="1">
    <field x="-2"/>
  </colFields>
  <dataFields count="5">
    <dataField name="Average - Basic" fld="9" subtotal="average" numFmtId="164"/>
    <dataField name="Average - Family" fld="11" subtotal="average" numFmtId="164"/>
    <dataField name="Average - Allowance" fld="10" subtotal="average" numFmtId="164"/>
    <dataField name="Average - Transportation" fld="7" subtotal="average" numFmtId="164"/>
    <dataField name="Average - Housing" fld="8" subtotal="average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1:D5" firstHeaderRow="1" firstDataRow="2" firstDataCol="1"/>
  <pivotFields count="10">
    <pivotField showAll="0"/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2"/>
  </rowFields>
  <colFields count="1">
    <field x="5"/>
  </colFields>
  <dataFields count="1">
    <dataField name="Count of Name" fld="1" subtotal="count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ivotTable" Target="../pivotTables/pivot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ivotTable" Target="../pivotTables/pivot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9"/>
  <sheetViews>
    <sheetView showFormulas="false" showGridLines="true" showRowColHeaders="true" showZeros="true" rightToLeft="false" tabSelected="true" showOutlineSymbols="true" defaultGridColor="true" view="normal" topLeftCell="B14" colorId="64" zoomScale="60" zoomScaleNormal="60" zoomScalePageLayoutView="100" workbookViewId="0">
      <selection pane="topLeft" activeCell="F52" activeCellId="0" sqref="F52"/>
    </sheetView>
  </sheetViews>
  <sheetFormatPr defaultColWidth="10.16015625" defaultRowHeight="15" zeroHeight="false" outlineLevelRow="0" outlineLevelCol="0"/>
  <cols>
    <col collapsed="false" customWidth="true" hidden="false" outlineLevel="0" max="1" min="1" style="1" width="3.24"/>
    <col collapsed="false" customWidth="true" hidden="false" outlineLevel="0" max="2" min="2" style="1" width="6.29"/>
    <col collapsed="false" customWidth="true" hidden="false" outlineLevel="0" max="3" min="3" style="1" width="7.37"/>
    <col collapsed="false" customWidth="true" hidden="false" outlineLevel="0" max="4" min="4" style="1" width="8.35"/>
    <col collapsed="false" customWidth="true" hidden="false" outlineLevel="0" max="5" min="5" style="1" width="10.41"/>
    <col collapsed="false" customWidth="true" hidden="false" outlineLevel="0" max="6" min="6" style="1" width="12.67"/>
    <col collapsed="false" customWidth="true" hidden="false" outlineLevel="0" max="7" min="7" style="1" width="11.29"/>
    <col collapsed="false" customWidth="true" hidden="false" outlineLevel="0" max="8" min="8" style="1" width="13.55"/>
    <col collapsed="false" customWidth="true" hidden="false" outlineLevel="0" max="9" min="9" style="1" width="8.25"/>
    <col collapsed="false" customWidth="true" hidden="false" outlineLevel="0" max="10" min="10" style="1" width="5.7"/>
    <col collapsed="false" customWidth="true" hidden="false" outlineLevel="0" max="11" min="11" style="1" width="9.83"/>
    <col collapsed="false" customWidth="true" hidden="false" outlineLevel="0" max="12" min="12" style="1" width="6.68"/>
    <col collapsed="false" customWidth="true" hidden="false" outlineLevel="0" max="14" min="14" style="1" width="11.96"/>
    <col collapsed="false" customWidth="true" hidden="false" outlineLevel="0" max="15" min="15" style="1" width="16.49"/>
    <col collapsed="false" customWidth="true" hidden="false" outlineLevel="0" max="16" min="16" style="1" width="6.19"/>
    <col collapsed="false" customWidth="true" hidden="false" outlineLevel="0" max="19" min="19" style="1" width="10.41"/>
    <col collapsed="false" customWidth="true" hidden="false" outlineLevel="0" max="20" min="20" style="1" width="9.83"/>
    <col collapsed="false" customWidth="true" hidden="false" outlineLevel="0" max="31" min="31" style="1" width="1.7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P1" s="1" t="s">
        <v>12</v>
      </c>
      <c r="S1" s="1" t="s">
        <v>4</v>
      </c>
      <c r="T1" s="1" t="s">
        <v>10</v>
      </c>
    </row>
    <row r="2" customFormat="false" ht="15" hidden="false" customHeight="false" outlineLevel="0" collapsed="false">
      <c r="A2" s="1" t="n">
        <v>18</v>
      </c>
      <c r="B2" s="1" t="s">
        <v>13</v>
      </c>
      <c r="C2" s="1" t="s">
        <v>14</v>
      </c>
      <c r="D2" s="1" t="s">
        <v>15</v>
      </c>
      <c r="E2" s="1" t="n">
        <v>3</v>
      </c>
      <c r="F2" s="1" t="s">
        <v>16</v>
      </c>
      <c r="G2" s="1" t="n">
        <v>3</v>
      </c>
      <c r="H2" s="1" t="n">
        <v>100</v>
      </c>
      <c r="I2" s="1" t="n">
        <v>100</v>
      </c>
      <c r="J2" s="1" t="n">
        <v>400</v>
      </c>
      <c r="K2" s="1" t="n">
        <v>34</v>
      </c>
      <c r="L2" s="1" t="n">
        <v>90</v>
      </c>
      <c r="P2" s="1" t="n">
        <f aca="false">COUNTIF(C2:C39, "F")</f>
        <v>28</v>
      </c>
      <c r="S2" s="1" t="n">
        <v>3</v>
      </c>
      <c r="T2" s="1" t="n">
        <v>34</v>
      </c>
    </row>
    <row r="3" customFormat="false" ht="15" hidden="false" customHeight="false" outlineLevel="0" collapsed="false">
      <c r="A3" s="1" t="n">
        <v>16</v>
      </c>
      <c r="B3" s="1" t="s">
        <v>13</v>
      </c>
      <c r="C3" s="1" t="s">
        <v>14</v>
      </c>
      <c r="D3" s="1" t="s">
        <v>15</v>
      </c>
      <c r="E3" s="1" t="n">
        <v>4</v>
      </c>
      <c r="F3" s="1" t="s">
        <v>16</v>
      </c>
      <c r="G3" s="1" t="n">
        <v>2</v>
      </c>
      <c r="H3" s="1" t="n">
        <v>110</v>
      </c>
      <c r="I3" s="1" t="n">
        <v>88</v>
      </c>
      <c r="J3" s="1" t="n">
        <v>400</v>
      </c>
      <c r="K3" s="1" t="n">
        <v>44</v>
      </c>
      <c r="L3" s="1" t="n">
        <v>60</v>
      </c>
      <c r="P3" s="1" t="n">
        <f aca="false">COUNTIF(C2:C39, "M")</f>
        <v>10</v>
      </c>
      <c r="S3" s="1" t="n">
        <v>4</v>
      </c>
      <c r="T3" s="1" t="n">
        <v>44</v>
      </c>
    </row>
    <row r="4" customFormat="false" ht="15" hidden="false" customHeight="false" outlineLevel="0" collapsed="false">
      <c r="A4" s="1" t="n">
        <v>1</v>
      </c>
      <c r="B4" s="1" t="s">
        <v>17</v>
      </c>
      <c r="C4" s="1" t="s">
        <v>14</v>
      </c>
      <c r="D4" s="1" t="s">
        <v>15</v>
      </c>
      <c r="E4" s="1" t="n">
        <v>5</v>
      </c>
      <c r="F4" s="1" t="s">
        <v>16</v>
      </c>
      <c r="G4" s="1" t="n">
        <v>3</v>
      </c>
      <c r="H4" s="1" t="n">
        <v>120</v>
      </c>
      <c r="I4" s="1" t="n">
        <v>100</v>
      </c>
      <c r="J4" s="1" t="n">
        <v>400</v>
      </c>
      <c r="K4" s="1" t="n">
        <v>50</v>
      </c>
      <c r="L4" s="1" t="n">
        <v>90</v>
      </c>
      <c r="S4" s="1" t="n">
        <v>5</v>
      </c>
      <c r="T4" s="1" t="n">
        <v>50</v>
      </c>
    </row>
    <row r="5" customFormat="false" ht="15" hidden="false" customHeight="false" outlineLevel="0" collapsed="false">
      <c r="A5" s="1" t="n">
        <v>29</v>
      </c>
      <c r="B5" s="1" t="s">
        <v>17</v>
      </c>
      <c r="C5" s="1" t="s">
        <v>14</v>
      </c>
      <c r="D5" s="1" t="s">
        <v>15</v>
      </c>
      <c r="E5" s="1" t="n">
        <v>5</v>
      </c>
      <c r="F5" s="1" t="s">
        <v>16</v>
      </c>
      <c r="G5" s="1" t="n">
        <v>0</v>
      </c>
      <c r="H5" s="1" t="n">
        <v>104</v>
      </c>
      <c r="I5" s="1" t="n">
        <v>102</v>
      </c>
      <c r="J5" s="1" t="n">
        <v>400</v>
      </c>
      <c r="K5" s="1" t="n">
        <v>50</v>
      </c>
      <c r="L5" s="1" t="n">
        <v>0</v>
      </c>
      <c r="S5" s="1" t="n">
        <v>5</v>
      </c>
      <c r="T5" s="1" t="n">
        <v>50</v>
      </c>
    </row>
    <row r="6" customFormat="false" ht="15" hidden="false" customHeight="false" outlineLevel="0" collapsed="false">
      <c r="A6" s="1" t="n">
        <v>20</v>
      </c>
      <c r="B6" s="1" t="s">
        <v>13</v>
      </c>
      <c r="C6" s="1" t="s">
        <v>14</v>
      </c>
      <c r="D6" s="1" t="s">
        <v>15</v>
      </c>
      <c r="E6" s="1" t="n">
        <v>7</v>
      </c>
      <c r="F6" s="1" t="s">
        <v>16</v>
      </c>
      <c r="G6" s="1" t="n">
        <v>3</v>
      </c>
      <c r="H6" s="1" t="n">
        <v>105</v>
      </c>
      <c r="I6" s="1" t="n">
        <v>110</v>
      </c>
      <c r="J6" s="1" t="n">
        <v>410</v>
      </c>
      <c r="K6" s="1" t="n">
        <v>70</v>
      </c>
      <c r="L6" s="1" t="n">
        <v>90</v>
      </c>
      <c r="S6" s="1" t="n">
        <v>7</v>
      </c>
      <c r="T6" s="1" t="n">
        <v>70</v>
      </c>
    </row>
    <row r="7" customFormat="false" ht="15" hidden="false" customHeight="false" outlineLevel="0" collapsed="false">
      <c r="A7" s="1" t="n">
        <v>5</v>
      </c>
      <c r="B7" s="1" t="s">
        <v>17</v>
      </c>
      <c r="C7" s="1" t="s">
        <v>18</v>
      </c>
      <c r="D7" s="1" t="s">
        <v>15</v>
      </c>
      <c r="E7" s="1" t="n">
        <v>9</v>
      </c>
      <c r="F7" s="1" t="s">
        <v>16</v>
      </c>
      <c r="G7" s="1" t="n">
        <v>4</v>
      </c>
      <c r="H7" s="1" t="n">
        <v>100</v>
      </c>
      <c r="I7" s="1" t="n">
        <v>300</v>
      </c>
      <c r="J7" s="1" t="n">
        <v>410</v>
      </c>
      <c r="K7" s="1" t="n">
        <v>90</v>
      </c>
      <c r="L7" s="1" t="n">
        <v>120</v>
      </c>
      <c r="S7" s="1" t="n">
        <v>9</v>
      </c>
      <c r="T7" s="1" t="n">
        <v>90</v>
      </c>
    </row>
    <row r="8" customFormat="false" ht="15" hidden="false" customHeight="false" outlineLevel="0" collapsed="false">
      <c r="A8" s="1" t="n">
        <v>14</v>
      </c>
      <c r="B8" s="1" t="s">
        <v>13</v>
      </c>
      <c r="C8" s="1" t="s">
        <v>14</v>
      </c>
      <c r="D8" s="1" t="s">
        <v>15</v>
      </c>
      <c r="E8" s="1" t="n">
        <v>10</v>
      </c>
      <c r="F8" s="1" t="s">
        <v>16</v>
      </c>
      <c r="G8" s="1" t="n">
        <v>5</v>
      </c>
      <c r="H8" s="1" t="n">
        <v>110</v>
      </c>
      <c r="I8" s="1" t="n">
        <v>110</v>
      </c>
      <c r="J8" s="1" t="n">
        <v>400</v>
      </c>
      <c r="K8" s="1" t="n">
        <v>100</v>
      </c>
      <c r="L8" s="1" t="n">
        <v>150</v>
      </c>
      <c r="N8" s="1" t="s">
        <v>3</v>
      </c>
      <c r="O8" s="1" t="s">
        <v>12</v>
      </c>
      <c r="S8" s="1" t="n">
        <v>10</v>
      </c>
      <c r="T8" s="1" t="n">
        <v>100</v>
      </c>
    </row>
    <row r="9" customFormat="false" ht="15" hidden="false" customHeight="false" outlineLevel="0" collapsed="false">
      <c r="A9" s="1" t="n">
        <v>15</v>
      </c>
      <c r="B9" s="1" t="s">
        <v>17</v>
      </c>
      <c r="C9" s="1" t="s">
        <v>14</v>
      </c>
      <c r="D9" s="1" t="s">
        <v>15</v>
      </c>
      <c r="E9" s="1" t="n">
        <v>15</v>
      </c>
      <c r="F9" s="1" t="s">
        <v>16</v>
      </c>
      <c r="G9" s="1" t="n">
        <v>1</v>
      </c>
      <c r="H9" s="1" t="n">
        <v>120</v>
      </c>
      <c r="I9" s="1" t="n">
        <v>105</v>
      </c>
      <c r="J9" s="1" t="n">
        <v>435</v>
      </c>
      <c r="K9" s="1" t="n">
        <v>150</v>
      </c>
      <c r="L9" s="1" t="n">
        <v>30</v>
      </c>
      <c r="N9" s="1" t="s">
        <v>19</v>
      </c>
      <c r="O9" s="1" t="n">
        <f aca="false">COUNTIF(D2:D39, "Diploma")</f>
        <v>21</v>
      </c>
      <c r="S9" s="1" t="n">
        <v>15</v>
      </c>
      <c r="T9" s="1" t="n">
        <v>150</v>
      </c>
    </row>
    <row r="10" customFormat="false" ht="15" hidden="false" customHeight="false" outlineLevel="0" collapsed="false">
      <c r="A10" s="1" t="n">
        <v>27</v>
      </c>
      <c r="B10" s="1" t="s">
        <v>17</v>
      </c>
      <c r="C10" s="1" t="s">
        <v>14</v>
      </c>
      <c r="D10" s="1" t="s">
        <v>19</v>
      </c>
      <c r="E10" s="1" t="n">
        <v>4</v>
      </c>
      <c r="F10" s="1" t="s">
        <v>16</v>
      </c>
      <c r="G10" s="1" t="n">
        <v>1</v>
      </c>
      <c r="H10" s="1" t="n">
        <v>104</v>
      </c>
      <c r="I10" s="1" t="n">
        <v>100</v>
      </c>
      <c r="J10" s="1" t="n">
        <v>321</v>
      </c>
      <c r="K10" s="1" t="n">
        <v>32</v>
      </c>
      <c r="L10" s="1" t="n">
        <v>30</v>
      </c>
      <c r="N10" s="1" t="s">
        <v>15</v>
      </c>
      <c r="O10" s="1" t="n">
        <f aca="false">COUNTIF(D2:D39, "Bsc")</f>
        <v>15</v>
      </c>
      <c r="S10" s="1" t="n">
        <v>4</v>
      </c>
      <c r="T10" s="1" t="n">
        <v>32</v>
      </c>
    </row>
    <row r="11" customFormat="false" ht="15" hidden="false" customHeight="false" outlineLevel="0" collapsed="false">
      <c r="A11" s="1" t="n">
        <v>9</v>
      </c>
      <c r="B11" s="1" t="s">
        <v>17</v>
      </c>
      <c r="C11" s="1" t="s">
        <v>18</v>
      </c>
      <c r="D11" s="1" t="s">
        <v>19</v>
      </c>
      <c r="E11" s="1" t="n">
        <v>4</v>
      </c>
      <c r="F11" s="1" t="s">
        <v>16</v>
      </c>
      <c r="G11" s="1" t="n">
        <v>2</v>
      </c>
      <c r="H11" s="1" t="n">
        <v>105</v>
      </c>
      <c r="I11" s="1" t="n">
        <v>250</v>
      </c>
      <c r="J11" s="1" t="n">
        <v>350</v>
      </c>
      <c r="K11" s="1" t="n">
        <v>32</v>
      </c>
      <c r="L11" s="1" t="n">
        <v>60</v>
      </c>
      <c r="N11" s="1" t="s">
        <v>20</v>
      </c>
      <c r="O11" s="1" t="n">
        <f aca="false">COUNTIF(D2:D39, "Msc")</f>
        <v>2</v>
      </c>
      <c r="S11" s="1" t="n">
        <v>4</v>
      </c>
      <c r="T11" s="1" t="n">
        <v>32</v>
      </c>
    </row>
    <row r="12" customFormat="false" ht="15" hidden="false" customHeight="false" outlineLevel="0" collapsed="false">
      <c r="A12" s="1" t="n">
        <v>12</v>
      </c>
      <c r="B12" s="1" t="s">
        <v>13</v>
      </c>
      <c r="C12" s="1" t="s">
        <v>14</v>
      </c>
      <c r="D12" s="1" t="s">
        <v>19</v>
      </c>
      <c r="E12" s="1" t="n">
        <v>5</v>
      </c>
      <c r="F12" s="1" t="s">
        <v>16</v>
      </c>
      <c r="G12" s="1" t="n">
        <v>3</v>
      </c>
      <c r="H12" s="1" t="n">
        <v>100</v>
      </c>
      <c r="I12" s="1" t="n">
        <v>100</v>
      </c>
      <c r="J12" s="1" t="n">
        <v>321</v>
      </c>
      <c r="K12" s="1" t="n">
        <v>40</v>
      </c>
      <c r="L12" s="1" t="n">
        <v>90</v>
      </c>
      <c r="S12" s="1" t="n">
        <v>5</v>
      </c>
      <c r="T12" s="1" t="n">
        <v>40</v>
      </c>
    </row>
    <row r="13" customFormat="false" ht="15" hidden="false" customHeight="false" outlineLevel="0" collapsed="false">
      <c r="A13" s="1" t="n">
        <v>13</v>
      </c>
      <c r="B13" s="1" t="s">
        <v>17</v>
      </c>
      <c r="C13" s="1" t="s">
        <v>14</v>
      </c>
      <c r="D13" s="1" t="s">
        <v>19</v>
      </c>
      <c r="E13" s="1" t="n">
        <v>7</v>
      </c>
      <c r="F13" s="1" t="s">
        <v>16</v>
      </c>
      <c r="G13" s="1" t="n">
        <v>2</v>
      </c>
      <c r="H13" s="1" t="n">
        <v>110</v>
      </c>
      <c r="I13" s="1" t="n">
        <v>102</v>
      </c>
      <c r="J13" s="1" t="n">
        <v>411</v>
      </c>
      <c r="K13" s="1" t="n">
        <v>56</v>
      </c>
      <c r="L13" s="1" t="n">
        <v>60</v>
      </c>
      <c r="S13" s="1" t="n">
        <v>7</v>
      </c>
      <c r="T13" s="1" t="n">
        <v>56</v>
      </c>
    </row>
    <row r="14" customFormat="false" ht="15" hidden="false" customHeight="false" outlineLevel="0" collapsed="false">
      <c r="A14" s="1" t="n">
        <v>17</v>
      </c>
      <c r="B14" s="1" t="s">
        <v>17</v>
      </c>
      <c r="C14" s="1" t="s">
        <v>14</v>
      </c>
      <c r="D14" s="1" t="s">
        <v>19</v>
      </c>
      <c r="E14" s="1" t="n">
        <v>8</v>
      </c>
      <c r="F14" s="1" t="s">
        <v>16</v>
      </c>
      <c r="G14" s="1" t="n">
        <v>2</v>
      </c>
      <c r="H14" s="1" t="n">
        <v>120</v>
      </c>
      <c r="I14" s="1" t="n">
        <v>98</v>
      </c>
      <c r="J14" s="1" t="n">
        <v>350</v>
      </c>
      <c r="K14" s="1" t="n">
        <v>64</v>
      </c>
      <c r="L14" s="1" t="n">
        <v>60</v>
      </c>
      <c r="N14" s="1" t="s">
        <v>2</v>
      </c>
      <c r="O14" s="1" t="s">
        <v>12</v>
      </c>
      <c r="S14" s="1" t="n">
        <v>8</v>
      </c>
      <c r="T14" s="1" t="n">
        <v>64</v>
      </c>
    </row>
    <row r="15" customFormat="false" ht="15" hidden="false" customHeight="false" outlineLevel="0" collapsed="false">
      <c r="A15" s="1" t="n">
        <v>19</v>
      </c>
      <c r="B15" s="1" t="s">
        <v>17</v>
      </c>
      <c r="C15" s="1" t="s">
        <v>14</v>
      </c>
      <c r="D15" s="1" t="s">
        <v>19</v>
      </c>
      <c r="E15" s="1" t="n">
        <v>9</v>
      </c>
      <c r="F15" s="1" t="s">
        <v>16</v>
      </c>
      <c r="G15" s="1" t="n">
        <v>3</v>
      </c>
      <c r="H15" s="1" t="n">
        <v>104</v>
      </c>
      <c r="I15" s="1" t="n">
        <v>102</v>
      </c>
      <c r="J15" s="1" t="n">
        <v>280</v>
      </c>
      <c r="K15" s="1" t="n">
        <v>72</v>
      </c>
      <c r="L15" s="1" t="n">
        <v>90</v>
      </c>
      <c r="N15" s="1" t="s">
        <v>18</v>
      </c>
      <c r="O15" s="1" t="n">
        <f aca="false">COUNTIF(C2:C39, "M")</f>
        <v>10</v>
      </c>
      <c r="S15" s="1" t="n">
        <v>9</v>
      </c>
      <c r="T15" s="1" t="n">
        <v>72</v>
      </c>
    </row>
    <row r="16" customFormat="false" ht="15" hidden="false" customHeight="false" outlineLevel="0" collapsed="false">
      <c r="A16" s="1" t="n">
        <v>22</v>
      </c>
      <c r="B16" s="1" t="s">
        <v>13</v>
      </c>
      <c r="C16" s="1" t="s">
        <v>14</v>
      </c>
      <c r="D16" s="1" t="s">
        <v>19</v>
      </c>
      <c r="E16" s="1" t="n">
        <v>12</v>
      </c>
      <c r="F16" s="1" t="s">
        <v>16</v>
      </c>
      <c r="G16" s="1" t="n">
        <v>4</v>
      </c>
      <c r="H16" s="1" t="n">
        <v>105</v>
      </c>
      <c r="I16" s="1" t="n">
        <v>105</v>
      </c>
      <c r="J16" s="1" t="n">
        <v>310</v>
      </c>
      <c r="K16" s="1" t="n">
        <v>96</v>
      </c>
      <c r="L16" s="1" t="n">
        <v>120</v>
      </c>
      <c r="N16" s="1" t="s">
        <v>14</v>
      </c>
      <c r="O16" s="1" t="n">
        <f aca="false">COUNTIF(C2:C39, "F")</f>
        <v>28</v>
      </c>
      <c r="S16" s="1" t="n">
        <v>12</v>
      </c>
      <c r="T16" s="1" t="n">
        <v>96</v>
      </c>
    </row>
    <row r="17" customFormat="false" ht="15" hidden="false" customHeight="false" outlineLevel="0" collapsed="false">
      <c r="A17" s="1" t="n">
        <v>38</v>
      </c>
      <c r="B17" s="1" t="s">
        <v>13</v>
      </c>
      <c r="C17" s="1" t="s">
        <v>14</v>
      </c>
      <c r="D17" s="1" t="s">
        <v>19</v>
      </c>
      <c r="E17" s="1" t="n">
        <v>12</v>
      </c>
      <c r="F17" s="1" t="s">
        <v>16</v>
      </c>
      <c r="G17" s="1" t="n">
        <v>5</v>
      </c>
      <c r="H17" s="1" t="n">
        <v>100</v>
      </c>
      <c r="I17" s="1" t="n">
        <v>230</v>
      </c>
      <c r="J17" s="1" t="n">
        <v>350</v>
      </c>
      <c r="K17" s="1" t="n">
        <v>96</v>
      </c>
      <c r="L17" s="1" t="n">
        <v>150</v>
      </c>
      <c r="S17" s="1" t="n">
        <v>12</v>
      </c>
      <c r="T17" s="1" t="n">
        <v>96</v>
      </c>
    </row>
    <row r="18" customFormat="false" ht="15" hidden="false" customHeight="false" outlineLevel="0" collapsed="false">
      <c r="A18" s="1" t="n">
        <v>23</v>
      </c>
      <c r="B18" s="1" t="s">
        <v>17</v>
      </c>
      <c r="C18" s="1" t="s">
        <v>14</v>
      </c>
      <c r="D18" s="1" t="s">
        <v>19</v>
      </c>
      <c r="E18" s="1" t="n">
        <v>13</v>
      </c>
      <c r="F18" s="1" t="s">
        <v>16</v>
      </c>
      <c r="G18" s="1" t="n">
        <v>4</v>
      </c>
      <c r="H18" s="1" t="n">
        <v>110</v>
      </c>
      <c r="I18" s="1" t="n">
        <v>88</v>
      </c>
      <c r="J18" s="1" t="n">
        <v>350</v>
      </c>
      <c r="K18" s="1" t="n">
        <v>104</v>
      </c>
      <c r="L18" s="1" t="n">
        <v>120</v>
      </c>
      <c r="S18" s="1" t="n">
        <v>13</v>
      </c>
      <c r="T18" s="1" t="n">
        <v>104</v>
      </c>
    </row>
    <row r="19" customFormat="false" ht="15" hidden="false" customHeight="false" outlineLevel="0" collapsed="false">
      <c r="A19" s="1" t="n">
        <v>4</v>
      </c>
      <c r="B19" s="1" t="s">
        <v>13</v>
      </c>
      <c r="C19" s="1" t="s">
        <v>18</v>
      </c>
      <c r="D19" s="1" t="s">
        <v>19</v>
      </c>
      <c r="E19" s="1" t="n">
        <v>13</v>
      </c>
      <c r="F19" s="1" t="s">
        <v>16</v>
      </c>
      <c r="G19" s="1" t="n">
        <v>4</v>
      </c>
      <c r="H19" s="1" t="n">
        <v>120</v>
      </c>
      <c r="I19" s="1" t="n">
        <v>280</v>
      </c>
      <c r="J19" s="1" t="n">
        <v>280</v>
      </c>
      <c r="K19" s="1" t="n">
        <v>104</v>
      </c>
      <c r="L19" s="1" t="n">
        <v>120</v>
      </c>
      <c r="S19" s="1" t="n">
        <v>13</v>
      </c>
      <c r="T19" s="1" t="n">
        <v>104</v>
      </c>
    </row>
    <row r="20" customFormat="false" ht="15" hidden="false" customHeight="false" outlineLevel="0" collapsed="false">
      <c r="A20" s="1" t="n">
        <v>11</v>
      </c>
      <c r="B20" s="1" t="s">
        <v>17</v>
      </c>
      <c r="C20" s="1" t="s">
        <v>18</v>
      </c>
      <c r="D20" s="1" t="s">
        <v>19</v>
      </c>
      <c r="E20" s="1" t="n">
        <v>14</v>
      </c>
      <c r="F20" s="1" t="s">
        <v>16</v>
      </c>
      <c r="G20" s="1" t="n">
        <v>6</v>
      </c>
      <c r="H20" s="1" t="n">
        <v>104</v>
      </c>
      <c r="I20" s="1" t="n">
        <v>250</v>
      </c>
      <c r="J20" s="1" t="n">
        <v>380</v>
      </c>
      <c r="K20" s="1" t="n">
        <v>112</v>
      </c>
      <c r="L20" s="1" t="n">
        <v>180</v>
      </c>
      <c r="S20" s="1" t="n">
        <v>14</v>
      </c>
      <c r="T20" s="1" t="n">
        <v>112</v>
      </c>
    </row>
    <row r="21" customFormat="false" ht="15" hidden="false" customHeight="false" outlineLevel="0" collapsed="false">
      <c r="A21" s="1" t="n">
        <v>10</v>
      </c>
      <c r="B21" s="1" t="s">
        <v>13</v>
      </c>
      <c r="C21" s="1" t="s">
        <v>18</v>
      </c>
      <c r="D21" s="1" t="s">
        <v>20</v>
      </c>
      <c r="E21" s="1" t="n">
        <v>4</v>
      </c>
      <c r="F21" s="1" t="s">
        <v>16</v>
      </c>
      <c r="G21" s="1" t="n">
        <v>4</v>
      </c>
      <c r="H21" s="1" t="n">
        <v>105</v>
      </c>
      <c r="I21" s="1" t="n">
        <v>250</v>
      </c>
      <c r="J21" s="1" t="n">
        <v>480</v>
      </c>
      <c r="K21" s="1" t="n">
        <v>60</v>
      </c>
      <c r="L21" s="1" t="n">
        <v>120</v>
      </c>
      <c r="N21" s="1" t="s">
        <v>3</v>
      </c>
      <c r="O21" s="1" t="s">
        <v>21</v>
      </c>
      <c r="S21" s="1" t="n">
        <v>4</v>
      </c>
      <c r="T21" s="1" t="n">
        <v>60</v>
      </c>
    </row>
    <row r="22" customFormat="false" ht="15" hidden="false" customHeight="false" outlineLevel="0" collapsed="false">
      <c r="A22" s="1" t="n">
        <v>25</v>
      </c>
      <c r="B22" s="1" t="s">
        <v>17</v>
      </c>
      <c r="C22" s="1" t="s">
        <v>14</v>
      </c>
      <c r="D22" s="1" t="s">
        <v>20</v>
      </c>
      <c r="E22" s="1" t="n">
        <v>13</v>
      </c>
      <c r="F22" s="1" t="s">
        <v>16</v>
      </c>
      <c r="G22" s="1" t="n">
        <v>4</v>
      </c>
      <c r="H22" s="1" t="n">
        <v>100</v>
      </c>
      <c r="I22" s="1" t="n">
        <v>98</v>
      </c>
      <c r="J22" s="1" t="n">
        <v>480</v>
      </c>
      <c r="K22" s="1" t="n">
        <v>195</v>
      </c>
      <c r="L22" s="1" t="n">
        <v>120</v>
      </c>
      <c r="N22" s="1" t="s">
        <v>19</v>
      </c>
      <c r="O22" s="1" t="n">
        <f aca="false">AVERAGEIF(D2:D39, "Diploma", H2:H39)</f>
        <v>107.619047619048</v>
      </c>
      <c r="S22" s="1" t="n">
        <v>13</v>
      </c>
      <c r="T22" s="1" t="n">
        <v>195</v>
      </c>
    </row>
    <row r="23" customFormat="false" ht="15" hidden="false" customHeight="false" outlineLevel="0" collapsed="false">
      <c r="A23" s="1" t="n">
        <v>3</v>
      </c>
      <c r="B23" s="1" t="s">
        <v>17</v>
      </c>
      <c r="C23" s="1" t="s">
        <v>14</v>
      </c>
      <c r="D23" s="1" t="s">
        <v>15</v>
      </c>
      <c r="E23" s="1" t="n">
        <v>4</v>
      </c>
      <c r="F23" s="1" t="s">
        <v>22</v>
      </c>
      <c r="G23" s="1" t="n">
        <v>0</v>
      </c>
      <c r="H23" s="1" t="n">
        <v>100</v>
      </c>
      <c r="I23" s="1" t="n">
        <v>110</v>
      </c>
      <c r="J23" s="1" t="n">
        <v>400</v>
      </c>
      <c r="K23" s="1" t="n">
        <v>45</v>
      </c>
      <c r="L23" s="1" t="n">
        <v>0</v>
      </c>
      <c r="N23" s="1" t="s">
        <v>15</v>
      </c>
      <c r="O23" s="1" t="n">
        <f aca="false">AVERAGEIF(D2:D39, "Bsc", H2:H39)</f>
        <v>107.866666666667</v>
      </c>
      <c r="S23" s="1" t="n">
        <v>4</v>
      </c>
      <c r="T23" s="1" t="n">
        <v>45</v>
      </c>
    </row>
    <row r="24" customFormat="false" ht="15" hidden="false" customHeight="false" outlineLevel="0" collapsed="false">
      <c r="A24" s="1" t="n">
        <v>33</v>
      </c>
      <c r="B24" s="1" t="s">
        <v>17</v>
      </c>
      <c r="C24" s="1" t="s">
        <v>14</v>
      </c>
      <c r="D24" s="1" t="s">
        <v>15</v>
      </c>
      <c r="E24" s="1" t="n">
        <v>6</v>
      </c>
      <c r="F24" s="1" t="s">
        <v>22</v>
      </c>
      <c r="G24" s="1" t="n">
        <v>0</v>
      </c>
      <c r="H24" s="1" t="n">
        <v>110</v>
      </c>
      <c r="I24" s="1" t="n">
        <v>98</v>
      </c>
      <c r="J24" s="1" t="n">
        <v>400</v>
      </c>
      <c r="K24" s="1" t="n">
        <v>60</v>
      </c>
      <c r="L24" s="1" t="n">
        <v>0</v>
      </c>
      <c r="N24" s="1" t="s">
        <v>20</v>
      </c>
      <c r="O24" s="1" t="n">
        <f aca="false">AVERAGEIF(D2:D39, "Msc", H2:H39)</f>
        <v>102.5</v>
      </c>
      <c r="S24" s="1" t="n">
        <v>6</v>
      </c>
      <c r="T24" s="1" t="n">
        <v>60</v>
      </c>
    </row>
    <row r="25" customFormat="false" ht="15" hidden="false" customHeight="false" outlineLevel="0" collapsed="false">
      <c r="A25" s="1" t="n">
        <v>36</v>
      </c>
      <c r="B25" s="1" t="s">
        <v>13</v>
      </c>
      <c r="C25" s="1" t="s">
        <v>14</v>
      </c>
      <c r="D25" s="1" t="s">
        <v>15</v>
      </c>
      <c r="E25" s="1" t="n">
        <v>6</v>
      </c>
      <c r="F25" s="1" t="s">
        <v>22</v>
      </c>
      <c r="G25" s="1" t="n">
        <v>0</v>
      </c>
      <c r="H25" s="1" t="n">
        <v>120</v>
      </c>
      <c r="I25" s="1" t="n">
        <v>250</v>
      </c>
      <c r="J25" s="1" t="n">
        <v>420</v>
      </c>
      <c r="K25" s="1" t="n">
        <v>60</v>
      </c>
      <c r="L25" s="1" t="n">
        <v>0</v>
      </c>
      <c r="S25" s="1" t="n">
        <v>6</v>
      </c>
      <c r="T25" s="1" t="n">
        <v>60</v>
      </c>
    </row>
    <row r="26" customFormat="false" ht="15" hidden="false" customHeight="false" outlineLevel="0" collapsed="false">
      <c r="A26" s="1" t="n">
        <v>31</v>
      </c>
      <c r="B26" s="1" t="s">
        <v>17</v>
      </c>
      <c r="C26" s="1" t="s">
        <v>14</v>
      </c>
      <c r="D26" s="1" t="s">
        <v>15</v>
      </c>
      <c r="E26" s="1" t="n">
        <v>8</v>
      </c>
      <c r="F26" s="1" t="s">
        <v>22</v>
      </c>
      <c r="G26" s="1" t="n">
        <v>0</v>
      </c>
      <c r="H26" s="1" t="n">
        <v>104</v>
      </c>
      <c r="I26" s="1" t="n">
        <v>105</v>
      </c>
      <c r="J26" s="1" t="n">
        <v>400</v>
      </c>
      <c r="K26" s="1" t="n">
        <v>80</v>
      </c>
      <c r="L26" s="1" t="n">
        <v>0</v>
      </c>
      <c r="S26" s="1" t="n">
        <v>8</v>
      </c>
      <c r="T26" s="1" t="n">
        <v>80</v>
      </c>
    </row>
    <row r="27" customFormat="false" ht="15" hidden="false" customHeight="false" outlineLevel="0" collapsed="false">
      <c r="A27" s="1" t="n">
        <v>35</v>
      </c>
      <c r="B27" s="1" t="s">
        <v>17</v>
      </c>
      <c r="C27" s="1" t="s">
        <v>14</v>
      </c>
      <c r="D27" s="1" t="s">
        <v>15</v>
      </c>
      <c r="E27" s="1" t="n">
        <v>8</v>
      </c>
      <c r="F27" s="1" t="s">
        <v>22</v>
      </c>
      <c r="G27" s="1" t="n">
        <v>0</v>
      </c>
      <c r="H27" s="1" t="n">
        <v>105</v>
      </c>
      <c r="I27" s="1" t="n">
        <v>102</v>
      </c>
      <c r="J27" s="1" t="n">
        <v>410</v>
      </c>
      <c r="K27" s="1" t="n">
        <v>80</v>
      </c>
      <c r="L27" s="1" t="n">
        <v>0</v>
      </c>
      <c r="S27" s="1" t="n">
        <v>8</v>
      </c>
      <c r="T27" s="1" t="n">
        <v>80</v>
      </c>
    </row>
    <row r="28" customFormat="false" ht="15" hidden="false" customHeight="false" outlineLevel="0" collapsed="false">
      <c r="A28" s="1" t="n">
        <v>21</v>
      </c>
      <c r="B28" s="1" t="s">
        <v>17</v>
      </c>
      <c r="C28" s="1" t="s">
        <v>18</v>
      </c>
      <c r="D28" s="1" t="s">
        <v>15</v>
      </c>
      <c r="E28" s="1" t="n">
        <v>10</v>
      </c>
      <c r="F28" s="1" t="s">
        <v>22</v>
      </c>
      <c r="G28" s="1" t="n">
        <v>0</v>
      </c>
      <c r="H28" s="1" t="n">
        <v>100</v>
      </c>
      <c r="I28" s="1" t="n">
        <v>110</v>
      </c>
      <c r="J28" s="1" t="n">
        <v>420</v>
      </c>
      <c r="K28" s="1" t="n">
        <v>100</v>
      </c>
      <c r="L28" s="1" t="n">
        <v>0</v>
      </c>
      <c r="S28" s="1" t="n">
        <v>10</v>
      </c>
      <c r="T28" s="1" t="n">
        <v>100</v>
      </c>
    </row>
    <row r="29" customFormat="false" ht="15" hidden="false" customHeight="false" outlineLevel="0" collapsed="false">
      <c r="A29" s="1" t="n">
        <v>28</v>
      </c>
      <c r="B29" s="1" t="s">
        <v>13</v>
      </c>
      <c r="C29" s="1" t="s">
        <v>18</v>
      </c>
      <c r="D29" s="1" t="s">
        <v>15</v>
      </c>
      <c r="E29" s="1" t="n">
        <v>20</v>
      </c>
      <c r="F29" s="1" t="s">
        <v>22</v>
      </c>
      <c r="G29" s="1" t="n">
        <v>0</v>
      </c>
      <c r="H29" s="1" t="n">
        <v>110</v>
      </c>
      <c r="I29" s="1" t="n">
        <v>98</v>
      </c>
      <c r="J29" s="1" t="n">
        <v>411</v>
      </c>
      <c r="K29" s="1" t="n">
        <v>160</v>
      </c>
      <c r="L29" s="1" t="n">
        <v>0</v>
      </c>
      <c r="S29" s="1" t="n">
        <v>20</v>
      </c>
      <c r="T29" s="1" t="n">
        <v>160</v>
      </c>
    </row>
    <row r="30" customFormat="false" ht="15" hidden="false" customHeight="false" outlineLevel="0" collapsed="false">
      <c r="A30" s="1" t="n">
        <v>8</v>
      </c>
      <c r="B30" s="1" t="s">
        <v>13</v>
      </c>
      <c r="C30" s="1" t="s">
        <v>14</v>
      </c>
      <c r="D30" s="1" t="s">
        <v>19</v>
      </c>
      <c r="E30" s="1" t="n">
        <v>4</v>
      </c>
      <c r="F30" s="1" t="s">
        <v>22</v>
      </c>
      <c r="G30" s="1" t="n">
        <v>0</v>
      </c>
      <c r="H30" s="1" t="n">
        <v>120</v>
      </c>
      <c r="I30" s="1" t="n">
        <v>98</v>
      </c>
      <c r="J30" s="1" t="n">
        <v>350</v>
      </c>
      <c r="K30" s="1" t="n">
        <v>32</v>
      </c>
      <c r="L30" s="1" t="n">
        <v>0</v>
      </c>
      <c r="S30" s="1" t="n">
        <v>4</v>
      </c>
      <c r="T30" s="1" t="n">
        <v>32</v>
      </c>
    </row>
    <row r="31" customFormat="false" ht="15" hidden="false" customHeight="false" outlineLevel="0" collapsed="false">
      <c r="A31" s="1" t="n">
        <v>32</v>
      </c>
      <c r="B31" s="1" t="s">
        <v>13</v>
      </c>
      <c r="C31" s="1" t="s">
        <v>14</v>
      </c>
      <c r="D31" s="1" t="s">
        <v>19</v>
      </c>
      <c r="E31" s="1" t="n">
        <v>8</v>
      </c>
      <c r="F31" s="1" t="s">
        <v>22</v>
      </c>
      <c r="G31" s="1" t="n">
        <v>0</v>
      </c>
      <c r="H31" s="1" t="n">
        <v>104</v>
      </c>
      <c r="I31" s="1" t="n">
        <v>88</v>
      </c>
      <c r="J31" s="1" t="n">
        <v>350</v>
      </c>
      <c r="K31" s="1" t="n">
        <v>64</v>
      </c>
      <c r="L31" s="1" t="n">
        <v>0</v>
      </c>
      <c r="S31" s="1" t="n">
        <v>8</v>
      </c>
      <c r="T31" s="1" t="n">
        <v>64</v>
      </c>
    </row>
    <row r="32" customFormat="false" ht="15" hidden="false" customHeight="false" outlineLevel="0" collapsed="false">
      <c r="A32" s="1" t="n">
        <v>24</v>
      </c>
      <c r="B32" s="1" t="s">
        <v>13</v>
      </c>
      <c r="C32" s="1" t="s">
        <v>18</v>
      </c>
      <c r="D32" s="1" t="s">
        <v>19</v>
      </c>
      <c r="E32" s="1" t="n">
        <v>8</v>
      </c>
      <c r="F32" s="1" t="s">
        <v>22</v>
      </c>
      <c r="G32" s="1" t="n">
        <v>0</v>
      </c>
      <c r="H32" s="1" t="n">
        <v>105</v>
      </c>
      <c r="I32" s="1" t="n">
        <v>105</v>
      </c>
      <c r="J32" s="1" t="n">
        <v>350</v>
      </c>
      <c r="K32" s="1" t="n">
        <v>64</v>
      </c>
      <c r="L32" s="1" t="n">
        <v>0</v>
      </c>
      <c r="S32" s="1" t="n">
        <v>8</v>
      </c>
      <c r="T32" s="1" t="n">
        <v>64</v>
      </c>
    </row>
    <row r="33" customFormat="false" ht="15" hidden="false" customHeight="false" outlineLevel="0" collapsed="false">
      <c r="A33" s="1" t="n">
        <v>34</v>
      </c>
      <c r="B33" s="1" t="s">
        <v>13</v>
      </c>
      <c r="C33" s="1" t="s">
        <v>14</v>
      </c>
      <c r="D33" s="1" t="s">
        <v>19</v>
      </c>
      <c r="E33" s="1" t="n">
        <v>9</v>
      </c>
      <c r="F33" s="1" t="s">
        <v>22</v>
      </c>
      <c r="G33" s="1" t="n">
        <v>0</v>
      </c>
      <c r="H33" s="1" t="n">
        <v>100</v>
      </c>
      <c r="I33" s="1" t="n">
        <v>100</v>
      </c>
      <c r="J33" s="1" t="n">
        <v>280</v>
      </c>
      <c r="K33" s="1" t="n">
        <v>72</v>
      </c>
      <c r="L33" s="1" t="n">
        <v>0</v>
      </c>
      <c r="S33" s="1" t="n">
        <v>9</v>
      </c>
      <c r="T33" s="1" t="n">
        <v>72</v>
      </c>
    </row>
    <row r="34" customFormat="false" ht="15" hidden="false" customHeight="false" outlineLevel="0" collapsed="false">
      <c r="A34" s="1" t="n">
        <v>26</v>
      </c>
      <c r="B34" s="1" t="s">
        <v>13</v>
      </c>
      <c r="C34" s="1" t="s">
        <v>18</v>
      </c>
      <c r="D34" s="1" t="s">
        <v>19</v>
      </c>
      <c r="E34" s="1" t="n">
        <v>9</v>
      </c>
      <c r="F34" s="1" t="s">
        <v>22</v>
      </c>
      <c r="G34" s="1" t="n">
        <v>0</v>
      </c>
      <c r="H34" s="1" t="n">
        <v>110</v>
      </c>
      <c r="I34" s="1" t="n">
        <v>88</v>
      </c>
      <c r="J34" s="1" t="n">
        <v>380</v>
      </c>
      <c r="K34" s="1" t="n">
        <v>72</v>
      </c>
      <c r="L34" s="1" t="n">
        <v>0</v>
      </c>
      <c r="S34" s="1" t="n">
        <v>9</v>
      </c>
      <c r="T34" s="1" t="n">
        <v>72</v>
      </c>
      <c r="AE34" s="1" t="s">
        <v>23</v>
      </c>
    </row>
    <row r="35" customFormat="false" ht="15" hidden="false" customHeight="false" outlineLevel="0" collapsed="false">
      <c r="A35" s="1" t="n">
        <v>6</v>
      </c>
      <c r="B35" s="1" t="s">
        <v>13</v>
      </c>
      <c r="C35" s="1" t="s">
        <v>14</v>
      </c>
      <c r="D35" s="1" t="s">
        <v>19</v>
      </c>
      <c r="E35" s="1" t="n">
        <v>12</v>
      </c>
      <c r="F35" s="1" t="s">
        <v>22</v>
      </c>
      <c r="G35" s="1" t="n">
        <v>0</v>
      </c>
      <c r="H35" s="1" t="n">
        <v>120</v>
      </c>
      <c r="I35" s="1" t="n">
        <v>105</v>
      </c>
      <c r="J35" s="1" t="n">
        <v>420</v>
      </c>
      <c r="K35" s="1" t="n">
        <v>96</v>
      </c>
      <c r="L35" s="1" t="n">
        <v>0</v>
      </c>
      <c r="S35" s="1" t="n">
        <v>12</v>
      </c>
      <c r="T35" s="1" t="n">
        <v>96</v>
      </c>
    </row>
    <row r="36" customFormat="false" ht="15" hidden="false" customHeight="false" outlineLevel="0" collapsed="false">
      <c r="A36" s="1" t="n">
        <v>37</v>
      </c>
      <c r="B36" s="1" t="s">
        <v>17</v>
      </c>
      <c r="C36" s="1" t="s">
        <v>18</v>
      </c>
      <c r="D36" s="1" t="s">
        <v>19</v>
      </c>
      <c r="E36" s="1" t="n">
        <v>12</v>
      </c>
      <c r="F36" s="1" t="s">
        <v>22</v>
      </c>
      <c r="G36" s="1" t="n">
        <v>0</v>
      </c>
      <c r="H36" s="1" t="n">
        <v>104</v>
      </c>
      <c r="I36" s="1" t="n">
        <v>100</v>
      </c>
      <c r="J36" s="1" t="n">
        <v>310</v>
      </c>
      <c r="K36" s="1" t="n">
        <v>96</v>
      </c>
      <c r="L36" s="1" t="n">
        <v>0</v>
      </c>
      <c r="S36" s="1" t="n">
        <v>12</v>
      </c>
      <c r="T36" s="1" t="n">
        <v>96</v>
      </c>
    </row>
    <row r="37" customFormat="false" ht="15" hidden="false" customHeight="false" outlineLevel="0" collapsed="false">
      <c r="A37" s="1" t="n">
        <v>30</v>
      </c>
      <c r="B37" s="1" t="s">
        <v>13</v>
      </c>
      <c r="C37" s="1" t="s">
        <v>14</v>
      </c>
      <c r="D37" s="1" t="s">
        <v>19</v>
      </c>
      <c r="E37" s="1" t="n">
        <v>14</v>
      </c>
      <c r="F37" s="1" t="s">
        <v>22</v>
      </c>
      <c r="G37" s="1" t="n">
        <v>0</v>
      </c>
      <c r="H37" s="1" t="n">
        <v>105</v>
      </c>
      <c r="I37" s="1" t="n">
        <v>110</v>
      </c>
      <c r="J37" s="1" t="n">
        <v>435</v>
      </c>
      <c r="K37" s="1" t="n">
        <v>112</v>
      </c>
      <c r="L37" s="1" t="n">
        <v>0</v>
      </c>
      <c r="S37" s="1" t="n">
        <v>14</v>
      </c>
      <c r="T37" s="1" t="n">
        <v>112</v>
      </c>
    </row>
    <row r="38" customFormat="false" ht="15" hidden="false" customHeight="false" outlineLevel="0" collapsed="false">
      <c r="A38" s="1" t="n">
        <v>2</v>
      </c>
      <c r="B38" s="1" t="s">
        <v>13</v>
      </c>
      <c r="C38" s="1" t="s">
        <v>14</v>
      </c>
      <c r="D38" s="1" t="s">
        <v>19</v>
      </c>
      <c r="E38" s="1" t="n">
        <v>20</v>
      </c>
      <c r="F38" s="1" t="s">
        <v>22</v>
      </c>
      <c r="G38" s="1" t="n">
        <v>0</v>
      </c>
      <c r="H38" s="1" t="n">
        <v>100</v>
      </c>
      <c r="I38" s="1" t="n">
        <v>90</v>
      </c>
      <c r="J38" s="1" t="n">
        <v>350</v>
      </c>
      <c r="K38" s="1" t="n">
        <v>160</v>
      </c>
      <c r="L38" s="1" t="n">
        <v>0</v>
      </c>
      <c r="S38" s="1" t="n">
        <v>20</v>
      </c>
      <c r="T38" s="1" t="n">
        <v>160</v>
      </c>
    </row>
    <row r="39" customFormat="false" ht="15" hidden="false" customHeight="false" outlineLevel="0" collapsed="false">
      <c r="A39" s="1" t="n">
        <v>7</v>
      </c>
      <c r="B39" s="1" t="s">
        <v>17</v>
      </c>
      <c r="C39" s="1" t="s">
        <v>14</v>
      </c>
      <c r="D39" s="1" t="s">
        <v>19</v>
      </c>
      <c r="E39" s="1" t="n">
        <v>21</v>
      </c>
      <c r="F39" s="1" t="s">
        <v>22</v>
      </c>
      <c r="G39" s="1" t="n">
        <v>0</v>
      </c>
      <c r="H39" s="1" t="n">
        <v>110</v>
      </c>
      <c r="I39" s="1" t="n">
        <v>88</v>
      </c>
      <c r="J39" s="1" t="n">
        <v>310</v>
      </c>
      <c r="K39" s="1" t="n">
        <v>168</v>
      </c>
      <c r="L39" s="1" t="n">
        <v>0</v>
      </c>
      <c r="S39" s="1" t="n">
        <v>21</v>
      </c>
      <c r="T39" s="1" t="n">
        <v>168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10.16015625" defaultRowHeight="12.8" zeroHeight="false" outlineLevelRow="0" outlineLevelCol="0"/>
  <cols>
    <col collapsed="false" customWidth="true" hidden="false" outlineLevel="0" max="1" min="1" style="1" width="11.49"/>
    <col collapsed="false" customWidth="true" hidden="false" outlineLevel="0" max="3" min="2" style="1" width="16.73"/>
    <col collapsed="false" customWidth="true" hidden="false" outlineLevel="0" max="4" min="4" style="1" width="17.44"/>
    <col collapsed="false" customWidth="true" hidden="false" outlineLevel="0" max="5" min="5" style="1" width="21.26"/>
    <col collapsed="false" customWidth="true" hidden="false" outlineLevel="0" max="6" min="6" style="1" width="16.73"/>
  </cols>
  <sheetData>
    <row r="1" customFormat="false" ht="13.8" hidden="false" customHeight="false" outlineLevel="0" collapsed="false">
      <c r="A1" s="2"/>
      <c r="B1" s="3" t="s">
        <v>24</v>
      </c>
      <c r="C1" s="4"/>
      <c r="D1" s="4"/>
      <c r="E1" s="4"/>
      <c r="F1" s="5"/>
    </row>
    <row r="2" customFormat="false" ht="13.8" hidden="false" customHeight="false" outlineLevel="0" collapsed="false">
      <c r="A2" s="6" t="s">
        <v>3</v>
      </c>
      <c r="B2" s="7" t="s">
        <v>25</v>
      </c>
      <c r="C2" s="8" t="s">
        <v>26</v>
      </c>
      <c r="D2" s="8" t="s">
        <v>27</v>
      </c>
      <c r="E2" s="8" t="s">
        <v>28</v>
      </c>
      <c r="F2" s="9" t="s">
        <v>29</v>
      </c>
    </row>
    <row r="3" customFormat="false" ht="13.8" hidden="false" customHeight="false" outlineLevel="0" collapsed="false">
      <c r="A3" s="10" t="s">
        <v>15</v>
      </c>
      <c r="B3" s="11" t="n">
        <v>407.733333333333</v>
      </c>
      <c r="C3" s="12" t="n">
        <v>42</v>
      </c>
      <c r="D3" s="12" t="n">
        <v>78.2</v>
      </c>
      <c r="E3" s="12" t="n">
        <v>107.866666666667</v>
      </c>
      <c r="F3" s="13" t="n">
        <v>125.866666666667</v>
      </c>
    </row>
    <row r="4" customFormat="false" ht="13.8" hidden="false" customHeight="false" outlineLevel="0" collapsed="false">
      <c r="A4" s="14" t="s">
        <v>19</v>
      </c>
      <c r="B4" s="15" t="n">
        <v>344.666666666667</v>
      </c>
      <c r="C4" s="16" t="n">
        <v>51.4285714285714</v>
      </c>
      <c r="D4" s="16" t="n">
        <v>83.0476190476191</v>
      </c>
      <c r="E4" s="16" t="n">
        <v>107.619047619048</v>
      </c>
      <c r="F4" s="17" t="n">
        <v>127.47619047619</v>
      </c>
    </row>
    <row r="5" customFormat="false" ht="13.8" hidden="false" customHeight="false" outlineLevel="0" collapsed="false">
      <c r="A5" s="14" t="s">
        <v>20</v>
      </c>
      <c r="B5" s="18" t="n">
        <v>480</v>
      </c>
      <c r="C5" s="19" t="n">
        <v>120</v>
      </c>
      <c r="D5" s="19" t="n">
        <v>127.5</v>
      </c>
      <c r="E5" s="19" t="n">
        <v>102.5</v>
      </c>
      <c r="F5" s="20" t="n">
        <v>174</v>
      </c>
    </row>
    <row r="6" customFormat="false" ht="13.8" hidden="false" customHeight="false" outlineLevel="0" collapsed="false">
      <c r="A6" s="21" t="s">
        <v>30</v>
      </c>
      <c r="B6" s="22" t="n">
        <v>376.684210526316</v>
      </c>
      <c r="C6" s="23" t="n">
        <v>51.3157894736842</v>
      </c>
      <c r="D6" s="23" t="n">
        <v>83.4736842105263</v>
      </c>
      <c r="E6" s="23" t="n">
        <v>107.447368421053</v>
      </c>
      <c r="F6" s="24" t="n">
        <v>129.289473684211</v>
      </c>
    </row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H22" activeCellId="0" sqref="H22"/>
    </sheetView>
  </sheetViews>
  <sheetFormatPr defaultColWidth="8.3046875" defaultRowHeight="15" zeroHeight="false" outlineLevelRow="0" outlineLevelCol="0"/>
  <cols>
    <col collapsed="false" customWidth="true" hidden="false" outlineLevel="0" max="1" min="1" style="1" width="14.43"/>
    <col collapsed="false" customWidth="true" hidden="false" outlineLevel="0" max="2" min="2" style="1" width="16.29"/>
    <col collapsed="false" customWidth="true" hidden="false" outlineLevel="0" max="3" min="3" style="1" width="6.43"/>
    <col collapsed="false" customWidth="true" hidden="false" outlineLevel="0" max="4" min="4" style="1" width="11.28"/>
    <col collapsed="false" customWidth="true" hidden="false" outlineLevel="0" max="6" min="6" style="1" width="3.43"/>
    <col collapsed="false" customWidth="true" hidden="false" outlineLevel="0" max="8" min="7" style="1" width="11.28"/>
  </cols>
  <sheetData>
    <row r="1" customFormat="false" ht="15" hidden="false" customHeight="false" outlineLevel="0" collapsed="false">
      <c r="A1" s="2" t="s">
        <v>31</v>
      </c>
      <c r="B1" s="3" t="s">
        <v>5</v>
      </c>
      <c r="C1" s="4"/>
      <c r="D1" s="5"/>
    </row>
    <row r="2" customFormat="false" ht="15" hidden="false" customHeight="false" outlineLevel="0" collapsed="false">
      <c r="A2" s="6" t="s">
        <v>2</v>
      </c>
      <c r="B2" s="7" t="s">
        <v>16</v>
      </c>
      <c r="C2" s="8" t="s">
        <v>22</v>
      </c>
      <c r="D2" s="25" t="s">
        <v>30</v>
      </c>
    </row>
    <row r="3" customFormat="false" ht="15" hidden="false" customHeight="false" outlineLevel="0" collapsed="false">
      <c r="A3" s="10" t="s">
        <v>14</v>
      </c>
      <c r="B3" s="26" t="n">
        <v>16</v>
      </c>
      <c r="C3" s="27" t="n">
        <v>12</v>
      </c>
      <c r="D3" s="28" t="n">
        <v>28</v>
      </c>
    </row>
    <row r="4" customFormat="false" ht="15" hidden="false" customHeight="false" outlineLevel="0" collapsed="false">
      <c r="A4" s="14" t="s">
        <v>18</v>
      </c>
      <c r="B4" s="29" t="n">
        <v>5</v>
      </c>
      <c r="C4" s="30" t="n">
        <v>5</v>
      </c>
      <c r="D4" s="31" t="n">
        <v>10</v>
      </c>
    </row>
    <row r="5" customFormat="false" ht="15" hidden="false" customHeight="false" outlineLevel="0" collapsed="false">
      <c r="A5" s="21" t="s">
        <v>30</v>
      </c>
      <c r="B5" s="32" t="n">
        <v>21</v>
      </c>
      <c r="C5" s="33" t="n">
        <v>17</v>
      </c>
      <c r="D5" s="34" t="n">
        <v>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196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2025-07-22T02:35:00Z</dcterms:created>
  <dc:creator>Admin</dc:creator>
  <dc:description/>
  <dc:language>en-US</dc:language>
  <cp:lastModifiedBy/>
  <dcterms:modified xsi:type="dcterms:W3CDTF">2025-08-14T00:52:24Z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